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74" i="1"/>
  <c r="N71"/>
  <c r="I21"/>
  <c r="U41" l="1"/>
  <c r="F74" l="1"/>
  <c r="L71"/>
  <c r="H108"/>
  <c r="F108"/>
  <c r="J108"/>
  <c r="L72" l="1"/>
  <c r="O20"/>
  <c r="F72"/>
  <c r="F71"/>
  <c r="O39"/>
  <c r="I65"/>
  <c r="U65"/>
  <c r="U64" l="1"/>
  <c r="O65"/>
  <c r="T71"/>
  <c r="O25"/>
  <c r="P25" s="1"/>
  <c r="U25"/>
  <c r="V25" s="1"/>
  <c r="V24"/>
  <c r="J25"/>
  <c r="J26"/>
  <c r="J24"/>
  <c r="R76"/>
  <c r="L76"/>
  <c r="F76"/>
  <c r="F75"/>
  <c r="E71" l="1"/>
  <c r="W25"/>
  <c r="X25" s="1"/>
  <c r="D96"/>
  <c r="I23"/>
  <c r="I64"/>
  <c r="R74"/>
  <c r="I66"/>
  <c r="V64" l="1"/>
  <c r="P54"/>
  <c r="V65"/>
  <c r="V66"/>
  <c r="P64"/>
  <c r="P65"/>
  <c r="P66"/>
  <c r="J65"/>
  <c r="J64"/>
  <c r="J66"/>
  <c r="R75"/>
  <c r="L75"/>
  <c r="F78"/>
  <c r="F77"/>
  <c r="V42"/>
  <c r="W43"/>
  <c r="X43" s="1"/>
  <c r="I42"/>
  <c r="J42" s="1"/>
  <c r="D95" l="1"/>
  <c r="W66"/>
  <c r="X66" s="1"/>
  <c r="W65"/>
  <c r="X65" s="1"/>
  <c r="W64"/>
  <c r="X64" s="1"/>
  <c r="R72"/>
  <c r="U10" l="1"/>
  <c r="O26"/>
  <c r="I13"/>
  <c r="J13" s="1"/>
  <c r="O13"/>
  <c r="P13" s="1"/>
  <c r="U13"/>
  <c r="V13" s="1"/>
  <c r="B7"/>
  <c r="U17"/>
  <c r="I27"/>
  <c r="I34"/>
  <c r="E72" l="1"/>
  <c r="W13"/>
  <c r="X13" s="1"/>
  <c r="O10"/>
  <c r="I18"/>
  <c r="J18" s="1"/>
  <c r="I22"/>
  <c r="U26"/>
  <c r="J6"/>
  <c r="I12"/>
  <c r="U9" l="1"/>
  <c r="U35"/>
  <c r="I39"/>
  <c r="O17"/>
  <c r="U47"/>
  <c r="V47" s="1"/>
  <c r="I31" l="1"/>
  <c r="U6"/>
  <c r="O24"/>
  <c r="I51"/>
  <c r="O18"/>
  <c r="P18" s="1"/>
  <c r="I41"/>
  <c r="U12"/>
  <c r="O7"/>
  <c r="U7"/>
  <c r="U45"/>
  <c r="U8"/>
  <c r="I53"/>
  <c r="U21"/>
  <c r="O22"/>
  <c r="U38"/>
  <c r="I7"/>
  <c r="O8"/>
  <c r="U11"/>
  <c r="V11" s="1"/>
  <c r="I10"/>
  <c r="O45"/>
  <c r="O40"/>
  <c r="I38"/>
  <c r="I14"/>
  <c r="I8"/>
  <c r="U31"/>
  <c r="U18"/>
  <c r="V18" s="1"/>
  <c r="U23"/>
  <c r="O44"/>
  <c r="P44" s="1"/>
  <c r="O52"/>
  <c r="O51"/>
  <c r="O47"/>
  <c r="P47" s="1"/>
  <c r="O50"/>
  <c r="O46"/>
  <c r="U52"/>
  <c r="I50"/>
  <c r="U51"/>
  <c r="O23"/>
  <c r="U30"/>
  <c r="U34"/>
  <c r="O38"/>
  <c r="I30"/>
  <c r="O9"/>
  <c r="U46"/>
  <c r="I15"/>
  <c r="O49"/>
  <c r="U44"/>
  <c r="O6"/>
  <c r="I9"/>
  <c r="I35"/>
  <c r="O31"/>
  <c r="U50"/>
  <c r="O42"/>
  <c r="P42" s="1"/>
  <c r="W42" s="1"/>
  <c r="I47"/>
  <c r="J47" s="1"/>
  <c r="O41"/>
  <c r="I11"/>
  <c r="O21"/>
  <c r="O11"/>
  <c r="O12"/>
  <c r="O30"/>
  <c r="I45"/>
  <c r="O71" l="1"/>
  <c r="W47"/>
  <c r="X47" s="1"/>
  <c r="W18"/>
  <c r="X18" s="1"/>
  <c r="O72"/>
  <c r="U72"/>
  <c r="I72"/>
  <c r="J72" s="1"/>
  <c r="P27"/>
  <c r="P26"/>
  <c r="P24"/>
  <c r="J41"/>
  <c r="P41"/>
  <c r="P53"/>
  <c r="P35"/>
  <c r="P17"/>
  <c r="P12"/>
  <c r="J15"/>
  <c r="J38"/>
  <c r="P51"/>
  <c r="P40"/>
  <c r="J40"/>
  <c r="P23"/>
  <c r="P8"/>
  <c r="P10"/>
  <c r="P6"/>
  <c r="P50"/>
  <c r="P52"/>
  <c r="P9"/>
  <c r="P46"/>
  <c r="P38"/>
  <c r="P7"/>
  <c r="P11"/>
  <c r="J30"/>
  <c r="J53"/>
  <c r="P21"/>
  <c r="P39"/>
  <c r="J39"/>
  <c r="J44"/>
  <c r="J45"/>
  <c r="J46"/>
  <c r="J49"/>
  <c r="J50"/>
  <c r="J51"/>
  <c r="J52"/>
  <c r="J54"/>
  <c r="P45"/>
  <c r="P49"/>
  <c r="V54"/>
  <c r="E7" i="2"/>
  <c r="E8" s="1"/>
  <c r="E9" s="1"/>
  <c r="E10" s="1"/>
  <c r="E11" s="1"/>
  <c r="A40"/>
  <c r="A41" s="1"/>
  <c r="A42" s="1"/>
  <c r="A43" s="1"/>
  <c r="A36"/>
  <c r="A37" s="1"/>
  <c r="A38" s="1"/>
  <c r="A31"/>
  <c r="A32" s="1"/>
  <c r="A33" s="1"/>
  <c r="A34" s="1"/>
  <c r="C24"/>
  <c r="A24"/>
  <c r="A25" s="1"/>
  <c r="A26" s="1"/>
  <c r="A27" s="1"/>
  <c r="A28" s="1"/>
  <c r="C23"/>
  <c r="C18"/>
  <c r="C16"/>
  <c r="C15"/>
  <c r="A15"/>
  <c r="A16" s="1"/>
  <c r="A18" s="1"/>
  <c r="A19" s="1"/>
  <c r="A20" s="1"/>
  <c r="C10"/>
  <c r="A6"/>
  <c r="A7" s="1"/>
  <c r="A8" s="1"/>
  <c r="A9" s="1"/>
  <c r="A10" s="1"/>
  <c r="P22" i="1"/>
  <c r="P28"/>
  <c r="P14"/>
  <c r="P15"/>
  <c r="V34"/>
  <c r="R78"/>
  <c r="L78"/>
  <c r="R77"/>
  <c r="L77"/>
  <c r="J27"/>
  <c r="V14"/>
  <c r="J28"/>
  <c r="D90" l="1"/>
  <c r="D89"/>
  <c r="X42"/>
  <c r="W54"/>
  <c r="G12" i="2"/>
  <c r="C44"/>
  <c r="R71" i="1"/>
  <c r="F81" l="1"/>
  <c r="D92" s="1"/>
  <c r="P30"/>
  <c r="Q72"/>
  <c r="K71"/>
  <c r="J14"/>
  <c r="K72" l="1"/>
  <c r="P72" s="1"/>
  <c r="D94"/>
  <c r="Q71"/>
  <c r="V72"/>
  <c r="I71"/>
  <c r="U71"/>
  <c r="G71"/>
  <c r="H71"/>
  <c r="M71"/>
  <c r="S71"/>
  <c r="V30"/>
  <c r="V31"/>
  <c r="V32"/>
  <c r="V33"/>
  <c r="J36"/>
  <c r="J35"/>
  <c r="S108" l="1"/>
  <c r="V108" s="1"/>
  <c r="D81"/>
  <c r="D88"/>
  <c r="X72"/>
  <c r="D83"/>
  <c r="D91"/>
  <c r="D93" l="1"/>
  <c r="D97" s="1"/>
  <c r="D82"/>
  <c r="D84" s="1"/>
  <c r="J31"/>
  <c r="P31" l="1"/>
  <c r="W31" s="1"/>
  <c r="V67"/>
  <c r="V68"/>
  <c r="V69"/>
  <c r="V70"/>
  <c r="V63"/>
  <c r="V7"/>
  <c r="V8"/>
  <c r="V9"/>
  <c r="V10"/>
  <c r="V12"/>
  <c r="V17"/>
  <c r="V21"/>
  <c r="V22"/>
  <c r="V23"/>
  <c r="V26"/>
  <c r="V38"/>
  <c r="W38" s="1"/>
  <c r="V39"/>
  <c r="V40"/>
  <c r="V41"/>
  <c r="V44"/>
  <c r="V45"/>
  <c r="V46"/>
  <c r="V49"/>
  <c r="V50"/>
  <c r="V51"/>
  <c r="V52"/>
  <c r="V53"/>
  <c r="V6"/>
  <c r="W6" s="1"/>
  <c r="P67"/>
  <c r="P68"/>
  <c r="P69"/>
  <c r="P70"/>
  <c r="P63"/>
  <c r="P32"/>
  <c r="P33"/>
  <c r="P34"/>
  <c r="J67"/>
  <c r="J68"/>
  <c r="J69"/>
  <c r="J70"/>
  <c r="J63"/>
  <c r="J32"/>
  <c r="J33"/>
  <c r="J34"/>
  <c r="J21"/>
  <c r="J22"/>
  <c r="J23"/>
  <c r="J17"/>
  <c r="J7"/>
  <c r="J8"/>
  <c r="J9"/>
  <c r="J10"/>
  <c r="J11"/>
  <c r="W11" s="1"/>
  <c r="X11" s="1"/>
  <c r="J12"/>
  <c r="B8"/>
  <c r="B9" s="1"/>
  <c r="B10" s="1"/>
  <c r="B11" s="1"/>
  <c r="B12" s="1"/>
  <c r="F109" l="1"/>
  <c r="F110" s="1"/>
  <c r="W63"/>
  <c r="X63" s="1"/>
  <c r="J71"/>
  <c r="B13"/>
  <c r="J109"/>
  <c r="W34"/>
  <c r="X34" s="1"/>
  <c r="W33"/>
  <c r="X33" s="1"/>
  <c r="V71"/>
  <c r="P71"/>
  <c r="W30"/>
  <c r="W32"/>
  <c r="X32" s="1"/>
  <c r="W45"/>
  <c r="X45" s="1"/>
  <c r="W40"/>
  <c r="W8"/>
  <c r="X8" s="1"/>
  <c r="W24"/>
  <c r="W12"/>
  <c r="X12" s="1"/>
  <c r="W49"/>
  <c r="X49" s="1"/>
  <c r="W44"/>
  <c r="W9"/>
  <c r="W51"/>
  <c r="X51" s="1"/>
  <c r="W53"/>
  <c r="X53" s="1"/>
  <c r="W10"/>
  <c r="X10" s="1"/>
  <c r="W7"/>
  <c r="X7" s="1"/>
  <c r="W52"/>
  <c r="W39"/>
  <c r="X39" s="1"/>
  <c r="X38"/>
  <c r="W22"/>
  <c r="X22" s="1"/>
  <c r="W46"/>
  <c r="X46" s="1"/>
  <c r="W41"/>
  <c r="X41" s="1"/>
  <c r="W50"/>
  <c r="W23"/>
  <c r="W26"/>
  <c r="X26" s="1"/>
  <c r="W17"/>
  <c r="X17" s="1"/>
  <c r="W21"/>
  <c r="W70"/>
  <c r="X70" s="1"/>
  <c r="B14" l="1"/>
  <c r="B15" s="1"/>
  <c r="B17" s="1"/>
  <c r="B18" s="1"/>
  <c r="B19" s="1"/>
  <c r="B20" s="1"/>
  <c r="B21" s="1"/>
  <c r="X44"/>
  <c r="W55"/>
  <c r="X9"/>
  <c r="X50"/>
  <c r="X40"/>
  <c r="X52"/>
  <c r="X6"/>
  <c r="X23"/>
  <c r="J110"/>
  <c r="H109"/>
  <c r="H110" s="1"/>
  <c r="W69"/>
  <c r="X69" s="1"/>
  <c r="W67"/>
  <c r="X67" s="1"/>
  <c r="W68"/>
  <c r="X68" s="1"/>
  <c r="X31"/>
  <c r="X21"/>
  <c r="B22" l="1"/>
  <c r="B23" s="1"/>
  <c r="B24" s="1"/>
  <c r="B25" s="1"/>
  <c r="B26" s="1"/>
  <c r="B27" s="1"/>
  <c r="B28" s="1"/>
  <c r="B30" s="1"/>
  <c r="B31" s="1"/>
  <c r="B32" s="1"/>
  <c r="B33" s="1"/>
  <c r="B34" s="1"/>
  <c r="X30"/>
  <c r="D71"/>
  <c r="W71"/>
  <c r="Q108"/>
  <c r="D55"/>
  <c r="B36" l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63" s="1"/>
  <c r="B64" s="1"/>
  <c r="B65" s="1"/>
  <c r="B66" s="1"/>
  <c r="B67" s="1"/>
  <c r="B68" s="1"/>
  <c r="B69" s="1"/>
  <c r="B70" s="1"/>
  <c r="B35"/>
  <c r="X71"/>
  <c r="X55"/>
</calcChain>
</file>

<file path=xl/sharedStrings.xml><?xml version="1.0" encoding="utf-8"?>
<sst xmlns="http://schemas.openxmlformats.org/spreadsheetml/2006/main" count="1443" uniqueCount="522">
  <si>
    <t>DEPT</t>
  </si>
  <si>
    <t>TRG</t>
  </si>
  <si>
    <t>TOTAL</t>
  </si>
  <si>
    <t>COMBER</t>
  </si>
  <si>
    <t>F.DRG</t>
  </si>
  <si>
    <t>SIMPLEX</t>
  </si>
  <si>
    <t>CARDING</t>
  </si>
  <si>
    <t>S.NO</t>
  </si>
  <si>
    <t>BLOWROOM</t>
  </si>
  <si>
    <t>SPG MAISTRY</t>
  </si>
  <si>
    <t>SPG SIDER</t>
  </si>
  <si>
    <t>SPG DOFFER</t>
  </si>
  <si>
    <t>AUTOCONER</t>
  </si>
  <si>
    <t>WORKER TEACHER</t>
  </si>
  <si>
    <t>PACKING</t>
  </si>
  <si>
    <t>SHIFT 1</t>
  </si>
  <si>
    <t>SHIFT 2</t>
  </si>
  <si>
    <t>SHIFT 3</t>
  </si>
  <si>
    <t>ADOZ COPS CLG</t>
  </si>
  <si>
    <t>REWINDING</t>
  </si>
  <si>
    <t>ADOZ BOBBIN CLG</t>
  </si>
  <si>
    <t>B4COPS</t>
  </si>
  <si>
    <t>LF,B/DRG</t>
  </si>
  <si>
    <t>EMBTIES,CONE CARRIER</t>
  </si>
  <si>
    <t>FITTER</t>
  </si>
  <si>
    <t>FITTER HELPER</t>
  </si>
  <si>
    <t>CLEANING</t>
  </si>
  <si>
    <t>ROOF CLG</t>
  </si>
  <si>
    <t>SCVANGER</t>
  </si>
  <si>
    <t>WORK SHOP</t>
  </si>
  <si>
    <t>MIXING MALE</t>
  </si>
  <si>
    <t>MIXING FEMALE</t>
  </si>
  <si>
    <t>OVERALL</t>
  </si>
  <si>
    <t>SPINNING</t>
  </si>
  <si>
    <t>OTHER'S</t>
  </si>
  <si>
    <t>SEMI-CLEANING</t>
  </si>
  <si>
    <t>COOK</t>
  </si>
  <si>
    <t>HOSTEL</t>
  </si>
  <si>
    <t>PREPARATORY</t>
  </si>
  <si>
    <t>SPG RELIEVER</t>
  </si>
  <si>
    <t>DAY</t>
  </si>
  <si>
    <t>COOKASST MALE</t>
  </si>
  <si>
    <t>COOKASST FEMALE</t>
  </si>
  <si>
    <t>CON.V</t>
  </si>
  <si>
    <t>SWEEPER</t>
  </si>
  <si>
    <t>TRAINNING (RAW)</t>
  </si>
  <si>
    <t xml:space="preserve">CON.V </t>
  </si>
  <si>
    <t>PREP-SEMI CLG</t>
  </si>
  <si>
    <t>BOBBIN CARIEER MALE</t>
  </si>
  <si>
    <t>COPS CARRIER MALE</t>
  </si>
  <si>
    <t>AUTOCONER MAISTRY</t>
  </si>
  <si>
    <t>HRS</t>
  </si>
  <si>
    <t xml:space="preserve">OT </t>
  </si>
  <si>
    <t>CON</t>
  </si>
  <si>
    <t>STD /</t>
  </si>
  <si>
    <t>BOBBIN CRELLER MALE</t>
  </si>
  <si>
    <t>BOBBIN CRELLER FEMALE</t>
  </si>
  <si>
    <t>I</t>
  </si>
  <si>
    <t>II</t>
  </si>
  <si>
    <t>III</t>
  </si>
  <si>
    <t>STRENGTH</t>
  </si>
  <si>
    <t>DIFF</t>
  </si>
  <si>
    <t>QAD (STAFF+3)</t>
  </si>
  <si>
    <t>=</t>
  </si>
  <si>
    <t>TRAINNING ABSTRACT</t>
  </si>
  <si>
    <t>TRG WORK</t>
  </si>
  <si>
    <t>RECRUITMENT</t>
  </si>
  <si>
    <t>WATER CARRIER</t>
  </si>
  <si>
    <t>ELECTRICAL</t>
  </si>
  <si>
    <t>PLANT CLEANING</t>
  </si>
  <si>
    <t>RAW HANDS</t>
  </si>
  <si>
    <t>MULTY SKILL TRG</t>
  </si>
  <si>
    <t>MULTY SKILL</t>
  </si>
  <si>
    <t>ot</t>
  </si>
  <si>
    <t>PM</t>
  </si>
  <si>
    <t xml:space="preserve">STD/ </t>
  </si>
  <si>
    <t>CONTRACT DOFFER</t>
  </si>
  <si>
    <t>STD</t>
  </si>
  <si>
    <t>STRENGTH REPORT</t>
  </si>
  <si>
    <t>ATTENENCE ABSTRACT</t>
  </si>
  <si>
    <t xml:space="preserve"> </t>
  </si>
  <si>
    <t>RAWHANDS</t>
  </si>
  <si>
    <t>Kayaar Exports (P) Ltd..,</t>
  </si>
  <si>
    <t>Attendance Shift wise Abstract - (05-04-2021-05-04-2021) - Shift : A</t>
  </si>
  <si>
    <t>Sl.No</t>
  </si>
  <si>
    <t>Tkt No</t>
  </si>
  <si>
    <t>Employee</t>
  </si>
  <si>
    <t>Department</t>
  </si>
  <si>
    <t>DOJ</t>
  </si>
  <si>
    <t>Category</t>
  </si>
  <si>
    <t>A</t>
  </si>
  <si>
    <t>B</t>
  </si>
  <si>
    <t>C</t>
  </si>
  <si>
    <t>Abs</t>
  </si>
  <si>
    <t>Total</t>
  </si>
  <si>
    <t>AC</t>
  </si>
  <si>
    <t>ARUMUGALAKSHMI. M</t>
  </si>
  <si>
    <t>O</t>
  </si>
  <si>
    <t>ARUNA. K</t>
  </si>
  <si>
    <t>H</t>
  </si>
  <si>
    <t>BHUVANESHWARI. V</t>
  </si>
  <si>
    <t>CHITHRA. S</t>
  </si>
  <si>
    <t>JAYALAKSHMI. K</t>
  </si>
  <si>
    <t>JAYALAKSHMI. M</t>
  </si>
  <si>
    <t>KALISWARI. M</t>
  </si>
  <si>
    <t>KARTHIKA. M</t>
  </si>
  <si>
    <t>KAVITHA. K</t>
  </si>
  <si>
    <t>KEERTHIKA. M</t>
  </si>
  <si>
    <t>LAKSHMI. P</t>
  </si>
  <si>
    <t>MAHADEVI. M</t>
  </si>
  <si>
    <t>MARIAMMAL. K</t>
  </si>
  <si>
    <t>MUKILA. S</t>
  </si>
  <si>
    <t>MURUGALAKSHMI. M</t>
  </si>
  <si>
    <t>MUTHULAKSHMI. M</t>
  </si>
  <si>
    <t>MUTHUMALAI. P</t>
  </si>
  <si>
    <t>MUTHURANI.V</t>
  </si>
  <si>
    <t>PRAMMASAKTHI. P</t>
  </si>
  <si>
    <t>PUSHPARANI. M</t>
  </si>
  <si>
    <t>RAMALAKSHMI. K</t>
  </si>
  <si>
    <t>RAMALAKSHMI. P</t>
  </si>
  <si>
    <t>RATHIKA. M</t>
  </si>
  <si>
    <t>RETHUKALAKUMARI. M</t>
  </si>
  <si>
    <t>REVATHI. M</t>
  </si>
  <si>
    <t>REVATHI. R</t>
  </si>
  <si>
    <t>SANGEETHA. J</t>
  </si>
  <si>
    <t>SELVI. M</t>
  </si>
  <si>
    <t>SERMAKANI. S</t>
  </si>
  <si>
    <t>SUBALAKSHMI. S</t>
  </si>
  <si>
    <t>VAILATMERY. S</t>
  </si>
  <si>
    <t>BR</t>
  </si>
  <si>
    <t>MAHESWARAN.R</t>
  </si>
  <si>
    <t>MARIKALAI.M</t>
  </si>
  <si>
    <t>CA</t>
  </si>
  <si>
    <t>DHANALAKSHMI. M</t>
  </si>
  <si>
    <t>KALARANJINI. P</t>
  </si>
  <si>
    <t>KASIMUNEESWARI. P</t>
  </si>
  <si>
    <t>VEERALAKSHMI. G</t>
  </si>
  <si>
    <t>CLG</t>
  </si>
  <si>
    <t>CHITRADEVI. P</t>
  </si>
  <si>
    <t>MAHESWARI. M</t>
  </si>
  <si>
    <t>MANJU.G</t>
  </si>
  <si>
    <t>MUTHULAKSHMI. B</t>
  </si>
  <si>
    <t>MUTHUMARI. D</t>
  </si>
  <si>
    <t>PATTUESAKKI. V</t>
  </si>
  <si>
    <t>SUTHA. M</t>
  </si>
  <si>
    <t>VALLI. T</t>
  </si>
  <si>
    <t>VARALAKSHMI. S</t>
  </si>
  <si>
    <t>CO</t>
  </si>
  <si>
    <t>ESAKKILAKSHMI. M</t>
  </si>
  <si>
    <t>GOWRI. M</t>
  </si>
  <si>
    <t>KALAISELVI. G</t>
  </si>
  <si>
    <t>MAHALAKSHMI. S</t>
  </si>
  <si>
    <t>PAVITHRA. P</t>
  </si>
  <si>
    <t>RAMAPUSHPAM. P</t>
  </si>
  <si>
    <t>SABITHA. G</t>
  </si>
  <si>
    <t>SANGEETHA. P</t>
  </si>
  <si>
    <t>SANTHI. R</t>
  </si>
  <si>
    <t>SATHIYA. G</t>
  </si>
  <si>
    <t>ECC</t>
  </si>
  <si>
    <t>ANTHONYAMMAL. A</t>
  </si>
  <si>
    <t>JAYALAKSHMI. V</t>
  </si>
  <si>
    <t>POOLAMMAL. T</t>
  </si>
  <si>
    <t>SORNAM. T</t>
  </si>
  <si>
    <t>UMA. R</t>
  </si>
  <si>
    <t>ELE</t>
  </si>
  <si>
    <t>BASKARAN. B</t>
  </si>
  <si>
    <t>MAHESWARAN.N</t>
  </si>
  <si>
    <t>MUTHUKUMAR.M</t>
  </si>
  <si>
    <t>RAMASUBBU.R</t>
  </si>
  <si>
    <t>SANTHANAKANI.R</t>
  </si>
  <si>
    <t>SELVAGANESAN. K</t>
  </si>
  <si>
    <t>SIVANADIYAR. S</t>
  </si>
  <si>
    <t>SURESH. S</t>
  </si>
  <si>
    <t>THIRUMALAIKUMAR. K</t>
  </si>
  <si>
    <t>FD</t>
  </si>
  <si>
    <t>CHITRA. M</t>
  </si>
  <si>
    <t>JAYACHITRA. E</t>
  </si>
  <si>
    <t>KANAGAVALLI. K</t>
  </si>
  <si>
    <t>MARIDEVI. S</t>
  </si>
  <si>
    <t>MUTHUSARASWATHI. R</t>
  </si>
  <si>
    <t>THILLAI. G</t>
  </si>
  <si>
    <t>GOPALAKRISHNAN.G</t>
  </si>
  <si>
    <t>JOHN MUTHU KUMAR.S</t>
  </si>
  <si>
    <t>KUMAR.M</t>
  </si>
  <si>
    <t>SHIVA KUMAR.S.E</t>
  </si>
  <si>
    <t>DINAKARAN. C</t>
  </si>
  <si>
    <t>GOPIKRISHNAN. K</t>
  </si>
  <si>
    <t>KARUPPASAMY. R</t>
  </si>
  <si>
    <t>KARUPPASAMY. U</t>
  </si>
  <si>
    <t>KUMAR. A</t>
  </si>
  <si>
    <t>MADHUKUMAR. S</t>
  </si>
  <si>
    <t>MANIKANDAN. M</t>
  </si>
  <si>
    <t>MARIAPPAN. R</t>
  </si>
  <si>
    <t>MATHANKUMAR. K</t>
  </si>
  <si>
    <t>MURUGESAN.G</t>
  </si>
  <si>
    <t>RAMESH. S</t>
  </si>
  <si>
    <t>ROBINROCKLANT. S</t>
  </si>
  <si>
    <t>SANMUGASUNDARAM. V</t>
  </si>
  <si>
    <t>SANTHOSHBABU. S</t>
  </si>
  <si>
    <t>SEETHARAMAN. K</t>
  </si>
  <si>
    <t>SELLAPANDIYAN. V</t>
  </si>
  <si>
    <t>SINGARAJ. V</t>
  </si>
  <si>
    <t>VELMURUGAN. S</t>
  </si>
  <si>
    <t>VIJAYKUMAR. I</t>
  </si>
  <si>
    <t>LF</t>
  </si>
  <si>
    <t>ABINAYASRI. R</t>
  </si>
  <si>
    <t>ALAGUMARI. V</t>
  </si>
  <si>
    <t>AMUTHA. M</t>
  </si>
  <si>
    <t>DHANALAKSHMI. R</t>
  </si>
  <si>
    <t>MURUGESWARI. M</t>
  </si>
  <si>
    <t>SELVALAKSHMI. A</t>
  </si>
  <si>
    <t>VENITHA. B</t>
  </si>
  <si>
    <t>MAIS</t>
  </si>
  <si>
    <t>KALIMUTHU.T</t>
  </si>
  <si>
    <t>PREMANAYAGAM.M</t>
  </si>
  <si>
    <t>SOODAMANI.P</t>
  </si>
  <si>
    <t>THANGARAJ.M</t>
  </si>
  <si>
    <t>MIX</t>
  </si>
  <si>
    <t>BALAMARIAPPAN. K</t>
  </si>
  <si>
    <t>BALAMURUGAN. A</t>
  </si>
  <si>
    <t>CHITTHIRAIVEL. M</t>
  </si>
  <si>
    <t>GANDHIRAJ. A</t>
  </si>
  <si>
    <t>JOSEPH. M</t>
  </si>
  <si>
    <t>JULI. K</t>
  </si>
  <si>
    <t>KALAIYARASI. K</t>
  </si>
  <si>
    <t>KALIMUTHU. K</t>
  </si>
  <si>
    <t>KALIRAJ. P</t>
  </si>
  <si>
    <t>KALIRAJ.A</t>
  </si>
  <si>
    <t>KARUPPASAMY. S</t>
  </si>
  <si>
    <t>MAHESWARI. K</t>
  </si>
  <si>
    <t>MARIAMMAL. M</t>
  </si>
  <si>
    <t>MARIRAJ. V</t>
  </si>
  <si>
    <t>MURUGAN.A</t>
  </si>
  <si>
    <t>MUTHUMARI. V</t>
  </si>
  <si>
    <t>PACHAIKANI. P</t>
  </si>
  <si>
    <t>PALANIAMMAL. K</t>
  </si>
  <si>
    <t>PAPPA. M</t>
  </si>
  <si>
    <t>PARAMASHIVAN.G</t>
  </si>
  <si>
    <t>PARAMASIVAM. M</t>
  </si>
  <si>
    <t>RAVIAMMAL. M</t>
  </si>
  <si>
    <t>SANKARRAJ. G</t>
  </si>
  <si>
    <t>SENTHILKUMAR. G</t>
  </si>
  <si>
    <t>SIVAKUMAR. R</t>
  </si>
  <si>
    <t>SUBBULAKSHMI.R</t>
  </si>
  <si>
    <t>SUDHA. M</t>
  </si>
  <si>
    <t>SUNDARAMMAL. C</t>
  </si>
  <si>
    <t>SUSILA.S</t>
  </si>
  <si>
    <t>THANGARAJ. K</t>
  </si>
  <si>
    <t>VEERAMMAL. S</t>
  </si>
  <si>
    <t>PK</t>
  </si>
  <si>
    <t>ANNALAKSHMI. V</t>
  </si>
  <si>
    <t>CELLAIAH. P</t>
  </si>
  <si>
    <t>KANAGAVALLI. M</t>
  </si>
  <si>
    <t>KANCHANA.M</t>
  </si>
  <si>
    <t>LAKSHMI. S</t>
  </si>
  <si>
    <t>MARIAMMAL. R</t>
  </si>
  <si>
    <t>MUTHUSELVI. M</t>
  </si>
  <si>
    <t>SANKARAKUMARI. M</t>
  </si>
  <si>
    <t>SUBBUTHAI. N</t>
  </si>
  <si>
    <t>VIJAYALAKSHMI. V</t>
  </si>
  <si>
    <t>PLC</t>
  </si>
  <si>
    <t>MARIMUTHU. M</t>
  </si>
  <si>
    <t>MUTHUMANIKKAM. M</t>
  </si>
  <si>
    <t>RAMVIGNESH. P</t>
  </si>
  <si>
    <t>PSC</t>
  </si>
  <si>
    <t>ESTHARSANTHI. S</t>
  </si>
  <si>
    <t>MAHALAKSHMI.B</t>
  </si>
  <si>
    <t>PRAMU. M</t>
  </si>
  <si>
    <t>SARAL.S</t>
  </si>
  <si>
    <t>SUSILA.R</t>
  </si>
  <si>
    <t>VEILATCHI. S</t>
  </si>
  <si>
    <t>QAD</t>
  </si>
  <si>
    <t>SANTHANALATHA. G</t>
  </si>
  <si>
    <t>VEERALAKSHMI. S</t>
  </si>
  <si>
    <t>R.CLG</t>
  </si>
  <si>
    <t>MADASAMY. C</t>
  </si>
  <si>
    <t>PETCHIAPPAN.N</t>
  </si>
  <si>
    <t>SELVAM.P</t>
  </si>
  <si>
    <t>RAW H</t>
  </si>
  <si>
    <t>MAHESHWARI. M</t>
  </si>
  <si>
    <t>VASANTHA. T</t>
  </si>
  <si>
    <t>S .CLG</t>
  </si>
  <si>
    <t>AVUDAITHAI. A</t>
  </si>
  <si>
    <t>KRISHNAVENI. M</t>
  </si>
  <si>
    <t>MALLIKA. N</t>
  </si>
  <si>
    <t>MEENA. S</t>
  </si>
  <si>
    <t>MUTHUMARI. J</t>
  </si>
  <si>
    <t>NAGALAKSHMI. S</t>
  </si>
  <si>
    <t>PETCHIAMMAL. A</t>
  </si>
  <si>
    <t>RAJESWARI. S</t>
  </si>
  <si>
    <t>RUKMANI. P</t>
  </si>
  <si>
    <t>SAKTHIRANI. M</t>
  </si>
  <si>
    <t>SANMUGALAKSHMI. K</t>
  </si>
  <si>
    <t>SARASWATHI. E</t>
  </si>
  <si>
    <t>SHANMUGALAKSHMI.K</t>
  </si>
  <si>
    <t>SD</t>
  </si>
  <si>
    <t>CHITHRA. P</t>
  </si>
  <si>
    <t>ESAKKIAMMAL. S</t>
  </si>
  <si>
    <t>GOPALAKRISHNAN. S</t>
  </si>
  <si>
    <t>KALIRAJ. G</t>
  </si>
  <si>
    <t>KAVITHA. G</t>
  </si>
  <si>
    <t>KOMBUMADATHI. P</t>
  </si>
  <si>
    <t>MAHESH. M</t>
  </si>
  <si>
    <t>MAHESWARI. P</t>
  </si>
  <si>
    <t>MANOREVATHI. G</t>
  </si>
  <si>
    <t>MARIYA. S</t>
  </si>
  <si>
    <t>MATHANA. P</t>
  </si>
  <si>
    <t>MEKALA. P</t>
  </si>
  <si>
    <t>NAGAJOTHI. S</t>
  </si>
  <si>
    <t>PANJAVARNAM. P</t>
  </si>
  <si>
    <t>PETCHIAMMAL. S</t>
  </si>
  <si>
    <t>RAJESWARI. M</t>
  </si>
  <si>
    <t>RAMU. M</t>
  </si>
  <si>
    <t>SUDALI. T</t>
  </si>
  <si>
    <t>THANGAM. K</t>
  </si>
  <si>
    <t>THIRISHA. S</t>
  </si>
  <si>
    <t>THIRUVALARSELVI. M</t>
  </si>
  <si>
    <t>VENNILA. P</t>
  </si>
  <si>
    <t>SIM</t>
  </si>
  <si>
    <t>ANITHA. A</t>
  </si>
  <si>
    <t>ANUSANGEETHA. M</t>
  </si>
  <si>
    <t>PUNITHA. A</t>
  </si>
  <si>
    <t>SANTHANAMARI. M</t>
  </si>
  <si>
    <t>SELVALAKSHMI. B</t>
  </si>
  <si>
    <t>VINITHA. M</t>
  </si>
  <si>
    <t>SS</t>
  </si>
  <si>
    <t>AMBIKA. P</t>
  </si>
  <si>
    <t>ANNAMMAL. S</t>
  </si>
  <si>
    <t>BHUWANESHWARI. M</t>
  </si>
  <si>
    <t>DHANALAKSHMI. N</t>
  </si>
  <si>
    <t>GAYATHRI. G</t>
  </si>
  <si>
    <t>KALA. A</t>
  </si>
  <si>
    <t>KANNIAMMAL. C</t>
  </si>
  <si>
    <t>KARPAGAM. S</t>
  </si>
  <si>
    <t>KARPAGAVALLI. M</t>
  </si>
  <si>
    <t>KARTHIGALAKSHMI. K</t>
  </si>
  <si>
    <t>KAVIYA. K</t>
  </si>
  <si>
    <t>KIRUTHIGA. C</t>
  </si>
  <si>
    <t>KRISHNAVENI. J</t>
  </si>
  <si>
    <t>MAHARASI. K</t>
  </si>
  <si>
    <t>MALATHI. B</t>
  </si>
  <si>
    <t>MURUGALAKSHMI. K</t>
  </si>
  <si>
    <t>MURUGALAKSHMI. S</t>
  </si>
  <si>
    <t>MURUGALAKSHMI. T</t>
  </si>
  <si>
    <t>MUTHULAKSHMI. L</t>
  </si>
  <si>
    <t>MUTHURATHA. P</t>
  </si>
  <si>
    <t>MUTHUSELVI. S</t>
  </si>
  <si>
    <t>PERIYANAYAGI. S</t>
  </si>
  <si>
    <t>PETCHIAMMAL. M</t>
  </si>
  <si>
    <t>PONNAMMAL. R</t>
  </si>
  <si>
    <t>POOMARI. R</t>
  </si>
  <si>
    <t>PRIYA. S</t>
  </si>
  <si>
    <t>RAMALAKSHMI. M</t>
  </si>
  <si>
    <t>SARANYA. M</t>
  </si>
  <si>
    <t>SUBBULAKSHMI. M</t>
  </si>
  <si>
    <t>SUBBULAKSHMI. S</t>
  </si>
  <si>
    <t>SUBHA. L</t>
  </si>
  <si>
    <t>SUDHA. B</t>
  </si>
  <si>
    <t>SUDHAKARTHIKA. A</t>
  </si>
  <si>
    <t>THANGARATHI. A</t>
  </si>
  <si>
    <t>ULAGAMMAL. M</t>
  </si>
  <si>
    <t>VALLIYAMMAI. M</t>
  </si>
  <si>
    <t>T ECC</t>
  </si>
  <si>
    <t>MADATHI. A</t>
  </si>
  <si>
    <t>T QAD</t>
  </si>
  <si>
    <t>ESAKKIAMMAL. V</t>
  </si>
  <si>
    <t>MAHESWARI. A</t>
  </si>
  <si>
    <t>MUTHUMARI. M</t>
  </si>
  <si>
    <t>SAGUNTHALADEVI. R</t>
  </si>
  <si>
    <t>THANGAMARI. M</t>
  </si>
  <si>
    <t>T S CLG</t>
  </si>
  <si>
    <t>KAVITHA. V</t>
  </si>
  <si>
    <t>MUNIYAMMAL. M</t>
  </si>
  <si>
    <t>MUTHULAKSHMI. A</t>
  </si>
  <si>
    <t>T SIDER</t>
  </si>
  <si>
    <t>AJITHADEVI. S</t>
  </si>
  <si>
    <t>AKILANDAESWARI. G</t>
  </si>
  <si>
    <t>ALAGAMMAL. P</t>
  </si>
  <si>
    <t>ARAVIND ANANDH. S</t>
  </si>
  <si>
    <t>AVUNIYA. S</t>
  </si>
  <si>
    <t>BHUVANESHWARI. P</t>
  </si>
  <si>
    <t>BIRJU. S</t>
  </si>
  <si>
    <t>CHITHRA. R</t>
  </si>
  <si>
    <t>ELIZABETHRANI. D</t>
  </si>
  <si>
    <t>ESAKKIAMMAL. P</t>
  </si>
  <si>
    <t>GAYATHRI. M</t>
  </si>
  <si>
    <t>GURULAKSHMI. P</t>
  </si>
  <si>
    <t>JAGATHEESWARAN. P</t>
  </si>
  <si>
    <t>KARPAGAVALLI. S</t>
  </si>
  <si>
    <t>KARTHIKAILAKSHMI. S</t>
  </si>
  <si>
    <t>KAVIPRIYA. K</t>
  </si>
  <si>
    <t>LAKSHMI. K</t>
  </si>
  <si>
    <t>MADASAMY. S</t>
  </si>
  <si>
    <t>MADATHI. M</t>
  </si>
  <si>
    <t>MAHALAKSHMI. J</t>
  </si>
  <si>
    <t>MALATHI. K</t>
  </si>
  <si>
    <t>MALATHI. M</t>
  </si>
  <si>
    <t>MAREESWARI. M</t>
  </si>
  <si>
    <t>MARISELVI. S</t>
  </si>
  <si>
    <t>MEENATCHI. R</t>
  </si>
  <si>
    <t>MUKILA. A</t>
  </si>
  <si>
    <t>MUTHULAKSHMI. S</t>
  </si>
  <si>
    <t>MUTHUMARI. P</t>
  </si>
  <si>
    <t>MUTHUPETCHI. P</t>
  </si>
  <si>
    <t>PACKIYALAKSHMI. P</t>
  </si>
  <si>
    <t>PANDEESWARI. M</t>
  </si>
  <si>
    <t>PAVITHRA. K</t>
  </si>
  <si>
    <t>PERIYATHAI. M</t>
  </si>
  <si>
    <t>PREMA. U</t>
  </si>
  <si>
    <t>RAMYA. K</t>
  </si>
  <si>
    <t>SANMUGAPRIYA. M</t>
  </si>
  <si>
    <t>SEETHALAKSHMI. C</t>
  </si>
  <si>
    <t>SELVI. K</t>
  </si>
  <si>
    <t>SUBBULAKSHMI. C</t>
  </si>
  <si>
    <t>SUMATHI. A</t>
  </si>
  <si>
    <t>THAMPURATTI. S</t>
  </si>
  <si>
    <t>USHA. M</t>
  </si>
  <si>
    <t>VALLIPRIYA. S</t>
  </si>
  <si>
    <t>VANITHA. T</t>
  </si>
  <si>
    <t>VIJAYA. E</t>
  </si>
  <si>
    <t>VINOTHA. A</t>
  </si>
  <si>
    <t>T.AUTO</t>
  </si>
  <si>
    <t>BABY. S</t>
  </si>
  <si>
    <t>ESAKKIAMMAL. T</t>
  </si>
  <si>
    <t>KALIAMMAL. K</t>
  </si>
  <si>
    <t>KANIAMMAL. G</t>
  </si>
  <si>
    <t>KARPAGAM. M</t>
  </si>
  <si>
    <t>KARUPPAMMAL. K</t>
  </si>
  <si>
    <t>KAVITHA. S</t>
  </si>
  <si>
    <t>MAHALAKSHMI. M</t>
  </si>
  <si>
    <t>MAHESWARI. R</t>
  </si>
  <si>
    <t>MULLAIMALAR. M</t>
  </si>
  <si>
    <t>MUTHULAKSHMI. K</t>
  </si>
  <si>
    <t>PALAVESAM. A</t>
  </si>
  <si>
    <t>PALKUTTI. S</t>
  </si>
  <si>
    <t>PITCHAIKANI. U</t>
  </si>
  <si>
    <t>RAMYA. M</t>
  </si>
  <si>
    <t>SASIKALA. P</t>
  </si>
  <si>
    <t>SUGUNTHALA. M</t>
  </si>
  <si>
    <t>UMA. P</t>
  </si>
  <si>
    <t>VALLI. M</t>
  </si>
  <si>
    <t>TCL</t>
  </si>
  <si>
    <t>EMIAMMAL. J</t>
  </si>
  <si>
    <t>KARTHIK. P</t>
  </si>
  <si>
    <t>KAYATHRI. M</t>
  </si>
  <si>
    <t>RAJESWARI. G</t>
  </si>
  <si>
    <t>THAMARAIKANNAN. M</t>
  </si>
  <si>
    <t>UMA. E</t>
  </si>
  <si>
    <t>VEERASELVI. B</t>
  </si>
  <si>
    <t>TCO</t>
  </si>
  <si>
    <t>ANITHA. J</t>
  </si>
  <si>
    <t>MUTHULAKSHMI. T</t>
  </si>
  <si>
    <t>TFDRG</t>
  </si>
  <si>
    <t>MUTHAMIL. T</t>
  </si>
  <si>
    <t>MUTHUMARI. S</t>
  </si>
  <si>
    <t>SADAIYAMMAL. K</t>
  </si>
  <si>
    <t>TLF</t>
  </si>
  <si>
    <t>GANDHIMATHI. K</t>
  </si>
  <si>
    <t>TSX</t>
  </si>
  <si>
    <t>ASWINKIRUBA. M</t>
  </si>
  <si>
    <t>BHAVANI. L</t>
  </si>
  <si>
    <t>ESWARI. V</t>
  </si>
  <si>
    <t>GOWSALAYA. M</t>
  </si>
  <si>
    <t>KALAMAHESWARI. K</t>
  </si>
  <si>
    <t>KARPAGAVALLI. G</t>
  </si>
  <si>
    <t>KARTHIKA. A</t>
  </si>
  <si>
    <t>MAREESWARI. K</t>
  </si>
  <si>
    <t>MARIKANNU. S</t>
  </si>
  <si>
    <t>NAGAJOTHI. M</t>
  </si>
  <si>
    <t>PAVITHRA. R</t>
  </si>
  <si>
    <t>RANJINIPRIYA. R</t>
  </si>
  <si>
    <t>SALOMI. B</t>
  </si>
  <si>
    <t>SANKARLAKSHMI. S</t>
  </si>
  <si>
    <t>SARASWATHI. M</t>
  </si>
  <si>
    <t>SEETHALAKSHMI. A</t>
  </si>
  <si>
    <t>SELVALAKSHMI. T</t>
  </si>
  <si>
    <t>SELVI. P</t>
  </si>
  <si>
    <t>SHANMUGADEVI. S</t>
  </si>
  <si>
    <t>VEERALAKSHMI. C</t>
  </si>
  <si>
    <t>TURNER</t>
  </si>
  <si>
    <t>NELAKANDAN.A</t>
  </si>
  <si>
    <t>SHANMUGAIAH. P</t>
  </si>
  <si>
    <t>W.T</t>
  </si>
  <si>
    <t>KALEESWARI. M</t>
  </si>
  <si>
    <t>PALANIAMMAL. P</t>
  </si>
  <si>
    <t>PUSHPARANI. S</t>
  </si>
  <si>
    <t>SAKTHIVEL.U</t>
  </si>
  <si>
    <t>SANTHANAMARI. A</t>
  </si>
  <si>
    <t>SIVALAKSHMI. R</t>
  </si>
  <si>
    <t>THANALAKSHMI. M</t>
  </si>
  <si>
    <t>AM(P)</t>
  </si>
  <si>
    <t>AM(TRG)</t>
  </si>
  <si>
    <t>M(QAD)</t>
  </si>
  <si>
    <t>SM(M)</t>
  </si>
  <si>
    <t>M(E)</t>
  </si>
  <si>
    <t>GM</t>
  </si>
  <si>
    <t>ATTENDENCE REPORT</t>
  </si>
  <si>
    <t>MD</t>
  </si>
  <si>
    <t>PREP-SWEEPER</t>
  </si>
  <si>
    <t>OT CONVERTION</t>
  </si>
  <si>
    <t>TRG. CONVERTION</t>
  </si>
  <si>
    <t xml:space="preserve">TOTAL </t>
  </si>
  <si>
    <t>TRG. STRENGTH</t>
  </si>
  <si>
    <t>100% W.LOAD</t>
  </si>
  <si>
    <t>MULTI SKILL</t>
  </si>
  <si>
    <t>SEMI-CLEANING CONTRACT</t>
  </si>
  <si>
    <t>SEMI-CONTRACT</t>
  </si>
  <si>
    <t>II 1s</t>
  </si>
  <si>
    <t>DRIVER</t>
  </si>
  <si>
    <t>WATCHMAN</t>
  </si>
  <si>
    <t>SECURITY</t>
  </si>
  <si>
    <t>CONTRACT SIDERS</t>
  </si>
  <si>
    <t>CONTRACT.S</t>
  </si>
  <si>
    <t>CLEANING CONT.</t>
  </si>
  <si>
    <t>CLG-CONTRACT</t>
  </si>
  <si>
    <t>CLE-CONTRACT</t>
  </si>
  <si>
    <t>SEMI.CLG. SIDERS</t>
  </si>
  <si>
    <t>ENDS GAITER</t>
  </si>
  <si>
    <t>AUTOCONER MAISTRY / WORKERS TEACHER</t>
  </si>
  <si>
    <t>MONTH OF JULY  - 2026</t>
  </si>
  <si>
    <t>S</t>
  </si>
  <si>
    <t>11.08.2026 STRENGTH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</si>
</sst>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dd\-mm\-yyyy"/>
    <numFmt numFmtId="167" formatCode="0.0;\-0.0;\-"/>
  </numFmts>
  <fonts count="2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u/>
      <sz val="11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u/>
      <sz val="11"/>
      <color theme="0" tint="-0.34998626667073579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8"/>
      <color indexed="8"/>
      <name val="Verdana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/>
    <xf numFmtId="0" fontId="1" fillId="0" borderId="0" xfId="0" applyFont="1" applyAlignment="1"/>
    <xf numFmtId="16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/>
    <xf numFmtId="164" fontId="1" fillId="0" borderId="0" xfId="0" applyNumberFormat="1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165" fontId="7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0" fontId="10" fillId="0" borderId="0" xfId="0" applyFont="1" applyBorder="1" applyAlignment="1"/>
    <xf numFmtId="3" fontId="10" fillId="0" borderId="0" xfId="0" applyNumberFormat="1" applyFont="1" applyBorder="1" applyAlignment="1">
      <alignment horizontal="center"/>
    </xf>
    <xf numFmtId="0" fontId="11" fillId="0" borderId="0" xfId="0" applyFont="1"/>
    <xf numFmtId="0" fontId="10" fillId="0" borderId="0" xfId="0" applyFont="1" applyAlignme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165" fontId="10" fillId="0" borderId="0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4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164" fontId="13" fillId="0" borderId="0" xfId="0" applyNumberFormat="1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7" fillId="0" borderId="0" xfId="0" applyFont="1" applyBorder="1" applyAlignment="1">
      <alignment horizontal="center"/>
    </xf>
    <xf numFmtId="164" fontId="17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3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3" fontId="10" fillId="0" borderId="1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0" xfId="0" applyFont="1" applyBorder="1"/>
    <xf numFmtId="164" fontId="10" fillId="0" borderId="0" xfId="0" applyNumberFormat="1" applyFont="1" applyBorder="1" applyAlignment="1">
      <alignment horizontal="center"/>
    </xf>
    <xf numFmtId="4" fontId="10" fillId="0" borderId="0" xfId="0" applyNumberFormat="1" applyFont="1" applyBorder="1" applyAlignment="1">
      <alignment horizontal="center"/>
    </xf>
    <xf numFmtId="0" fontId="10" fillId="0" borderId="4" xfId="0" applyFont="1" applyBorder="1"/>
    <xf numFmtId="164" fontId="10" fillId="0" borderId="2" xfId="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164" fontId="10" fillId="0" borderId="8" xfId="0" applyNumberFormat="1" applyFont="1" applyBorder="1" applyAlignment="1">
      <alignment horizontal="center"/>
    </xf>
    <xf numFmtId="164" fontId="10" fillId="0" borderId="10" xfId="0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4" fontId="10" fillId="0" borderId="11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164" fontId="10" fillId="0" borderId="1" xfId="0" applyNumberFormat="1" applyFont="1" applyBorder="1"/>
    <xf numFmtId="0" fontId="10" fillId="0" borderId="1" xfId="0" applyFont="1" applyBorder="1" applyAlignment="1">
      <alignment horizontal="left" vertical="center"/>
    </xf>
    <xf numFmtId="165" fontId="10" fillId="0" borderId="3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center" vertical="center"/>
    </xf>
    <xf numFmtId="164" fontId="11" fillId="0" borderId="0" xfId="0" applyNumberFormat="1" applyFont="1"/>
    <xf numFmtId="0" fontId="18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165" fontId="10" fillId="0" borderId="0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3" fontId="10" fillId="0" borderId="0" xfId="0" applyNumberFormat="1" applyFont="1"/>
    <xf numFmtId="0" fontId="10" fillId="0" borderId="0" xfId="0" applyFont="1" applyBorder="1" applyAlignment="1">
      <alignment horizontal="left" vertical="center"/>
    </xf>
    <xf numFmtId="16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3" fontId="16" fillId="0" borderId="0" xfId="0" applyNumberFormat="1" applyFont="1" applyFill="1" applyBorder="1" applyAlignment="1"/>
    <xf numFmtId="3" fontId="16" fillId="0" borderId="0" xfId="0" applyNumberFormat="1" applyFont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20" fillId="0" borderId="0" xfId="0" applyFont="1" applyAlignment="1">
      <alignment horizontal="right" vertical="top" wrapText="1" readingOrder="1"/>
    </xf>
    <xf numFmtId="0" fontId="20" fillId="0" borderId="0" xfId="0" applyFont="1" applyAlignment="1">
      <alignment horizontal="center" vertical="top" wrapText="1" readingOrder="1"/>
    </xf>
    <xf numFmtId="1" fontId="20" fillId="0" borderId="0" xfId="0" applyNumberFormat="1" applyFont="1" applyAlignment="1">
      <alignment horizontal="right" vertical="top" wrapText="1"/>
    </xf>
    <xf numFmtId="167" fontId="20" fillId="0" borderId="0" xfId="0" applyNumberFormat="1" applyFont="1" applyAlignment="1">
      <alignment horizontal="right" vertical="top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3" fontId="10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8" xfId="0" applyNumberFormat="1" applyFont="1" applyBorder="1" applyAlignment="1">
      <alignment horizontal="center" vertical="center"/>
    </xf>
    <xf numFmtId="165" fontId="10" fillId="0" borderId="0" xfId="0" applyNumberFormat="1" applyFo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 vertical="center"/>
    </xf>
    <xf numFmtId="165" fontId="16" fillId="0" borderId="0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164" fontId="16" fillId="0" borderId="0" xfId="0" applyNumberFormat="1" applyFont="1" applyBorder="1" applyAlignment="1">
      <alignment horizontal="center"/>
    </xf>
    <xf numFmtId="164" fontId="16" fillId="0" borderId="0" xfId="0" applyNumberFormat="1" applyFont="1"/>
    <xf numFmtId="0" fontId="16" fillId="0" borderId="0" xfId="0" applyFont="1" applyBorder="1"/>
    <xf numFmtId="165" fontId="10" fillId="2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1" fontId="10" fillId="2" borderId="1" xfId="0" applyNumberFormat="1" applyFont="1" applyFill="1" applyBorder="1"/>
    <xf numFmtId="1" fontId="10" fillId="0" borderId="1" xfId="0" applyNumberFormat="1" applyFont="1" applyBorder="1"/>
    <xf numFmtId="1" fontId="16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8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64" fontId="1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/>
    </xf>
    <xf numFmtId="0" fontId="0" fillId="0" borderId="0" xfId="0" applyFont="1" applyAlignment="1">
      <alignment horizontal="left"/>
    </xf>
    <xf numFmtId="164" fontId="0" fillId="0" borderId="14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64" fontId="10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10" fillId="2" borderId="1" xfId="0" applyNumberFormat="1" applyFont="1" applyFill="1" applyBorder="1" applyAlignment="1">
      <alignment horizontal="center" wrapText="1"/>
    </xf>
    <xf numFmtId="165" fontId="10" fillId="0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10" fillId="0" borderId="1" xfId="0" applyFont="1" applyBorder="1" applyAlignment="1">
      <alignment horizontal="center" vertical="center"/>
    </xf>
    <xf numFmtId="165" fontId="21" fillId="0" borderId="0" xfId="0" applyNumberFormat="1" applyFo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9" xfId="0" applyFont="1" applyBorder="1"/>
    <xf numFmtId="0" fontId="11" fillId="0" borderId="1" xfId="0" applyFont="1" applyBorder="1" applyAlignment="1">
      <alignment horizontal="left"/>
    </xf>
    <xf numFmtId="0" fontId="11" fillId="0" borderId="6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7" fontId="20" fillId="0" borderId="0" xfId="0" applyNumberFormat="1" applyFont="1" applyAlignment="1">
      <alignment horizontal="right" vertical="top" wrapText="1"/>
    </xf>
    <xf numFmtId="1" fontId="20" fillId="0" borderId="0" xfId="0" applyNumberFormat="1" applyFont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166" fontId="20" fillId="0" borderId="0" xfId="0" applyNumberFormat="1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0" xfId="0" applyFont="1" applyAlignment="1">
      <alignment horizontal="center" vertical="top" wrapText="1"/>
    </xf>
    <xf numFmtId="0" fontId="20" fillId="0" borderId="0" xfId="0" applyFont="1" applyAlignment="1">
      <alignment horizontal="right" vertical="top" wrapText="1" readingOrder="1"/>
    </xf>
    <xf numFmtId="0" fontId="20" fillId="0" borderId="0" xfId="0" applyFont="1" applyAlignment="1">
      <alignment horizontal="left" vertical="top" wrapText="1" readingOrder="1"/>
    </xf>
    <xf numFmtId="0" fontId="20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AA124"/>
  <sheetViews>
    <sheetView tabSelected="1" topLeftCell="A79" workbookViewId="0">
      <selection activeCell="B59" sqref="B59:X102"/>
    </sheetView>
  </sheetViews>
  <sheetFormatPr defaultRowHeight="15"/>
  <cols>
    <col min="1" max="1" width="9.140625" style="1"/>
    <col min="2" max="2" width="4.140625" style="43" customWidth="1"/>
    <col min="3" max="3" width="28.140625" style="43" bestFit="1" customWidth="1"/>
    <col min="4" max="5" width="5.5703125" style="43" customWidth="1"/>
    <col min="6" max="6" width="5.42578125" style="43" customWidth="1"/>
    <col min="7" max="7" width="6.5703125" style="43" customWidth="1"/>
    <col min="8" max="8" width="4.42578125" style="43" customWidth="1"/>
    <col min="9" max="9" width="5.28515625" style="43" customWidth="1"/>
    <col min="10" max="10" width="6.42578125" style="43" customWidth="1"/>
    <col min="11" max="12" width="5.7109375" style="43" customWidth="1"/>
    <col min="13" max="13" width="6.5703125" style="43" customWidth="1"/>
    <col min="14" max="15" width="5.28515625" style="43" customWidth="1"/>
    <col min="16" max="16" width="6.42578125" style="43" customWidth="1"/>
    <col min="17" max="17" width="5.28515625" style="43" customWidth="1"/>
    <col min="18" max="18" width="5.5703125" style="43" customWidth="1"/>
    <col min="19" max="19" width="6.5703125" style="43" customWidth="1"/>
    <col min="20" max="20" width="4.85546875" style="43" customWidth="1"/>
    <col min="21" max="21" width="5.28515625" style="43" customWidth="1"/>
    <col min="22" max="22" width="6.42578125" style="43" customWidth="1"/>
    <col min="23" max="23" width="8.5703125" style="43" customWidth="1"/>
    <col min="24" max="24" width="9.7109375" style="43" customWidth="1"/>
    <col min="25" max="25" width="5.42578125" style="1" customWidth="1"/>
    <col min="26" max="16384" width="9.140625" style="1"/>
  </cols>
  <sheetData>
    <row r="2" spans="2:25" ht="21.75" customHeight="1">
      <c r="C2" s="123" t="s">
        <v>496</v>
      </c>
      <c r="D2" s="34"/>
      <c r="E2" s="34"/>
      <c r="F2" s="34"/>
      <c r="G2" s="35"/>
      <c r="H2" s="34"/>
      <c r="I2" s="231" t="s">
        <v>519</v>
      </c>
      <c r="J2" s="231"/>
      <c r="K2" s="231"/>
      <c r="L2" s="231"/>
      <c r="M2" s="231"/>
      <c r="N2" s="231"/>
      <c r="O2" s="231"/>
      <c r="P2" s="231"/>
      <c r="Q2" s="231"/>
    </row>
    <row r="3" spans="2:25" ht="18" customHeight="1">
      <c r="B3" s="127"/>
      <c r="C3" s="217" t="s">
        <v>521</v>
      </c>
      <c r="D3" s="125" t="s">
        <v>75</v>
      </c>
      <c r="E3" s="229" t="s">
        <v>15</v>
      </c>
      <c r="F3" s="229"/>
      <c r="G3" s="229"/>
      <c r="H3" s="229"/>
      <c r="I3" s="229"/>
      <c r="J3" s="229"/>
      <c r="K3" s="229" t="s">
        <v>16</v>
      </c>
      <c r="L3" s="229"/>
      <c r="M3" s="229"/>
      <c r="N3" s="229"/>
      <c r="O3" s="229"/>
      <c r="P3" s="229"/>
      <c r="Q3" s="229" t="s">
        <v>17</v>
      </c>
      <c r="R3" s="229"/>
      <c r="S3" s="229"/>
      <c r="T3" s="229"/>
      <c r="U3" s="229"/>
      <c r="V3" s="229"/>
      <c r="W3" s="64" t="s">
        <v>32</v>
      </c>
      <c r="X3" s="64" t="s">
        <v>32</v>
      </c>
    </row>
    <row r="4" spans="2:25" ht="20.25" customHeight="1">
      <c r="B4" s="65" t="s">
        <v>7</v>
      </c>
      <c r="C4" s="65" t="s">
        <v>0</v>
      </c>
      <c r="D4" s="125" t="s">
        <v>40</v>
      </c>
      <c r="E4" s="66">
        <v>1</v>
      </c>
      <c r="F4" s="125" t="s">
        <v>1</v>
      </c>
      <c r="G4" s="64" t="s">
        <v>46</v>
      </c>
      <c r="H4" s="125" t="s">
        <v>51</v>
      </c>
      <c r="I4" s="125" t="s">
        <v>52</v>
      </c>
      <c r="J4" s="125" t="s">
        <v>2</v>
      </c>
      <c r="K4" s="66">
        <v>1</v>
      </c>
      <c r="L4" s="143" t="s">
        <v>1</v>
      </c>
      <c r="M4" s="64" t="s">
        <v>46</v>
      </c>
      <c r="N4" s="143" t="s">
        <v>51</v>
      </c>
      <c r="O4" s="125" t="s">
        <v>52</v>
      </c>
      <c r="P4" s="64" t="s">
        <v>2</v>
      </c>
      <c r="Q4" s="66">
        <v>1</v>
      </c>
      <c r="R4" s="125" t="s">
        <v>1</v>
      </c>
      <c r="S4" s="64" t="s">
        <v>46</v>
      </c>
      <c r="T4" s="125" t="s">
        <v>51</v>
      </c>
      <c r="U4" s="125" t="s">
        <v>52</v>
      </c>
      <c r="V4" s="125" t="s">
        <v>2</v>
      </c>
      <c r="W4" s="64" t="s">
        <v>43</v>
      </c>
      <c r="X4" s="67" t="s">
        <v>60</v>
      </c>
      <c r="Y4" s="2"/>
    </row>
    <row r="5" spans="2:25" ht="17.25" customHeight="1">
      <c r="B5" s="225" t="s">
        <v>38</v>
      </c>
      <c r="C5" s="225"/>
      <c r="D5" s="65"/>
      <c r="E5" s="66"/>
      <c r="F5" s="125"/>
      <c r="G5" s="64"/>
      <c r="H5" s="125" t="s">
        <v>52</v>
      </c>
      <c r="I5" s="125" t="s">
        <v>53</v>
      </c>
      <c r="J5" s="125"/>
      <c r="K5" s="66"/>
      <c r="L5" s="143"/>
      <c r="M5" s="64" t="s">
        <v>1</v>
      </c>
      <c r="N5" s="143" t="s">
        <v>52</v>
      </c>
      <c r="O5" s="125" t="s">
        <v>53</v>
      </c>
      <c r="P5" s="68"/>
      <c r="Q5" s="66"/>
      <c r="R5" s="125"/>
      <c r="S5" s="64" t="s">
        <v>1</v>
      </c>
      <c r="T5" s="125" t="s">
        <v>52</v>
      </c>
      <c r="U5" s="125" t="s">
        <v>53</v>
      </c>
      <c r="V5" s="126"/>
      <c r="W5" s="64" t="s">
        <v>2</v>
      </c>
      <c r="X5" s="125" t="s">
        <v>61</v>
      </c>
    </row>
    <row r="6" spans="2:25">
      <c r="B6" s="125">
        <v>1</v>
      </c>
      <c r="C6" s="70" t="s">
        <v>8</v>
      </c>
      <c r="D6" s="126">
        <v>3</v>
      </c>
      <c r="E6" s="128">
        <v>1</v>
      </c>
      <c r="F6" s="128"/>
      <c r="G6" s="125"/>
      <c r="H6" s="125"/>
      <c r="I6" s="125"/>
      <c r="J6" s="72">
        <f>I6+G6+E6</f>
        <v>1</v>
      </c>
      <c r="K6" s="131"/>
      <c r="L6" s="131"/>
      <c r="M6" s="143"/>
      <c r="N6" s="203">
        <v>8.5</v>
      </c>
      <c r="O6" s="73">
        <f>N6/8.5</f>
        <v>1</v>
      </c>
      <c r="P6" s="72">
        <f>O6+M6+K6</f>
        <v>1</v>
      </c>
      <c r="Q6" s="131">
        <v>1</v>
      </c>
      <c r="R6" s="131"/>
      <c r="S6" s="125"/>
      <c r="T6" s="125"/>
      <c r="U6" s="73">
        <f t="shared" ref="U6:U13" si="0">T6/8</f>
        <v>0</v>
      </c>
      <c r="V6" s="72">
        <f>U6+S6+Q6</f>
        <v>1</v>
      </c>
      <c r="W6" s="72">
        <f>V6+P6+J6</f>
        <v>3</v>
      </c>
      <c r="X6" s="72">
        <f>W6-D6</f>
        <v>0</v>
      </c>
    </row>
    <row r="7" spans="2:25">
      <c r="B7" s="125">
        <f>B6+1</f>
        <v>2</v>
      </c>
      <c r="C7" s="70" t="s">
        <v>6</v>
      </c>
      <c r="D7" s="126">
        <v>3</v>
      </c>
      <c r="E7" s="128">
        <v>1</v>
      </c>
      <c r="F7" s="129"/>
      <c r="G7" s="125"/>
      <c r="H7" s="125"/>
      <c r="I7" s="73">
        <f t="shared" ref="I7:I13" si="1">H7/8.5</f>
        <v>0</v>
      </c>
      <c r="J7" s="72">
        <f t="shared" ref="J7:J41" si="2">I7+G7+E7</f>
        <v>1</v>
      </c>
      <c r="K7" s="131"/>
      <c r="L7" s="133">
        <v>1</v>
      </c>
      <c r="M7" s="143">
        <v>1</v>
      </c>
      <c r="N7" s="143"/>
      <c r="O7" s="73">
        <f>N7/8.5</f>
        <v>0</v>
      </c>
      <c r="P7" s="72">
        <f t="shared" ref="P7:P17" si="3">O7+M7+K7</f>
        <v>1</v>
      </c>
      <c r="Q7" s="131">
        <v>1</v>
      </c>
      <c r="R7" s="133"/>
      <c r="S7" s="125"/>
      <c r="T7" s="125"/>
      <c r="U7" s="73">
        <f t="shared" si="0"/>
        <v>0</v>
      </c>
      <c r="V7" s="72">
        <f t="shared" ref="V7:V52" si="4">U7+S7+Q7</f>
        <v>1</v>
      </c>
      <c r="W7" s="72">
        <f t="shared" ref="W7:W52" si="5">V7+P7+J7</f>
        <v>3</v>
      </c>
      <c r="X7" s="72">
        <f t="shared" ref="X7:X52" si="6">W7-D7</f>
        <v>0</v>
      </c>
    </row>
    <row r="8" spans="2:25">
      <c r="B8" s="125">
        <f t="shared" ref="B8:B10" si="7">B7+1</f>
        <v>3</v>
      </c>
      <c r="C8" s="70" t="s">
        <v>4</v>
      </c>
      <c r="D8" s="126">
        <v>6</v>
      </c>
      <c r="E8" s="130">
        <v>2</v>
      </c>
      <c r="F8" s="128"/>
      <c r="G8" s="125"/>
      <c r="H8" s="125"/>
      <c r="I8" s="73">
        <f t="shared" si="1"/>
        <v>0</v>
      </c>
      <c r="J8" s="72">
        <f t="shared" si="2"/>
        <v>2</v>
      </c>
      <c r="K8" s="131"/>
      <c r="L8" s="131">
        <v>2</v>
      </c>
      <c r="M8" s="143">
        <v>2</v>
      </c>
      <c r="N8" s="143"/>
      <c r="O8" s="73">
        <f t="shared" ref="O8:O13" si="8">N8/8.5</f>
        <v>0</v>
      </c>
      <c r="P8" s="72">
        <f t="shared" si="3"/>
        <v>2</v>
      </c>
      <c r="Q8" s="131">
        <v>2</v>
      </c>
      <c r="R8" s="131"/>
      <c r="S8" s="125"/>
      <c r="T8" s="125"/>
      <c r="U8" s="73">
        <f t="shared" si="0"/>
        <v>0</v>
      </c>
      <c r="V8" s="72">
        <f t="shared" si="4"/>
        <v>2</v>
      </c>
      <c r="W8" s="72">
        <f t="shared" si="5"/>
        <v>6</v>
      </c>
      <c r="X8" s="72">
        <f t="shared" si="6"/>
        <v>0</v>
      </c>
    </row>
    <row r="9" spans="2:25">
      <c r="B9" s="125">
        <f t="shared" si="7"/>
        <v>4</v>
      </c>
      <c r="C9" s="70" t="s">
        <v>22</v>
      </c>
      <c r="D9" s="126">
        <v>9</v>
      </c>
      <c r="E9" s="130">
        <v>1</v>
      </c>
      <c r="F9" s="130">
        <v>2</v>
      </c>
      <c r="G9" s="125">
        <v>2</v>
      </c>
      <c r="H9" s="125"/>
      <c r="I9" s="73">
        <f t="shared" si="1"/>
        <v>0</v>
      </c>
      <c r="J9" s="72">
        <f t="shared" si="2"/>
        <v>3</v>
      </c>
      <c r="K9" s="131">
        <v>2</v>
      </c>
      <c r="L9" s="131">
        <v>1</v>
      </c>
      <c r="M9" s="143">
        <v>1</v>
      </c>
      <c r="N9" s="143"/>
      <c r="O9" s="73">
        <f t="shared" si="8"/>
        <v>0</v>
      </c>
      <c r="P9" s="72">
        <f t="shared" si="3"/>
        <v>3</v>
      </c>
      <c r="Q9" s="131">
        <v>1</v>
      </c>
      <c r="R9" s="131">
        <v>1</v>
      </c>
      <c r="S9" s="125">
        <v>1</v>
      </c>
      <c r="T9" s="125"/>
      <c r="U9" s="73">
        <f t="shared" si="0"/>
        <v>0</v>
      </c>
      <c r="V9" s="72">
        <f t="shared" si="4"/>
        <v>2</v>
      </c>
      <c r="W9" s="72">
        <f t="shared" si="5"/>
        <v>8</v>
      </c>
      <c r="X9" s="72">
        <f t="shared" si="6"/>
        <v>-1</v>
      </c>
    </row>
    <row r="10" spans="2:25">
      <c r="B10" s="125">
        <f t="shared" si="7"/>
        <v>5</v>
      </c>
      <c r="C10" s="70" t="s">
        <v>3</v>
      </c>
      <c r="D10" s="126">
        <v>6</v>
      </c>
      <c r="E10" s="130">
        <v>1</v>
      </c>
      <c r="F10" s="128">
        <v>2</v>
      </c>
      <c r="G10" s="125">
        <v>1</v>
      </c>
      <c r="H10" s="125"/>
      <c r="I10" s="73">
        <f t="shared" si="1"/>
        <v>0</v>
      </c>
      <c r="J10" s="72">
        <f t="shared" si="2"/>
        <v>2</v>
      </c>
      <c r="K10" s="131">
        <v>2</v>
      </c>
      <c r="L10" s="131">
        <v>1</v>
      </c>
      <c r="M10" s="143"/>
      <c r="N10" s="143"/>
      <c r="O10" s="73">
        <f t="shared" si="8"/>
        <v>0</v>
      </c>
      <c r="P10" s="72">
        <f t="shared" si="3"/>
        <v>2</v>
      </c>
      <c r="Q10" s="131">
        <v>2</v>
      </c>
      <c r="R10" s="131"/>
      <c r="S10" s="125"/>
      <c r="T10" s="125"/>
      <c r="U10" s="73">
        <f t="shared" si="0"/>
        <v>0</v>
      </c>
      <c r="V10" s="72">
        <f t="shared" si="4"/>
        <v>2</v>
      </c>
      <c r="W10" s="72">
        <f t="shared" si="5"/>
        <v>6</v>
      </c>
      <c r="X10" s="72">
        <f t="shared" si="6"/>
        <v>0</v>
      </c>
    </row>
    <row r="11" spans="2:25">
      <c r="B11" s="125">
        <f>B10+1</f>
        <v>6</v>
      </c>
      <c r="C11" s="70" t="s">
        <v>5</v>
      </c>
      <c r="D11" s="126">
        <v>21</v>
      </c>
      <c r="E11" s="130">
        <v>7</v>
      </c>
      <c r="F11" s="128">
        <v>1</v>
      </c>
      <c r="G11" s="125"/>
      <c r="H11" s="125"/>
      <c r="I11" s="73">
        <f t="shared" si="1"/>
        <v>0</v>
      </c>
      <c r="J11" s="72">
        <f>I11+G11+E11</f>
        <v>7</v>
      </c>
      <c r="K11" s="131">
        <v>5</v>
      </c>
      <c r="L11" s="131">
        <v>2</v>
      </c>
      <c r="M11" s="143">
        <v>2</v>
      </c>
      <c r="N11" s="78"/>
      <c r="O11" s="73">
        <f t="shared" si="8"/>
        <v>0</v>
      </c>
      <c r="P11" s="72">
        <f t="shared" si="3"/>
        <v>7</v>
      </c>
      <c r="Q11" s="131">
        <v>5</v>
      </c>
      <c r="R11" s="131">
        <v>2</v>
      </c>
      <c r="S11" s="125">
        <v>1</v>
      </c>
      <c r="T11" s="125">
        <v>8</v>
      </c>
      <c r="U11" s="73">
        <f t="shared" si="0"/>
        <v>1</v>
      </c>
      <c r="V11" s="72">
        <f>U11+S11+Q11</f>
        <v>7</v>
      </c>
      <c r="W11" s="72">
        <f>V11+P11+J11</f>
        <v>21</v>
      </c>
      <c r="X11" s="72">
        <f>W11-D11</f>
        <v>0</v>
      </c>
    </row>
    <row r="12" spans="2:25">
      <c r="B12" s="141">
        <f t="shared" ref="B12:B15" si="9">B11+1</f>
        <v>7</v>
      </c>
      <c r="C12" s="70" t="s">
        <v>47</v>
      </c>
      <c r="D12" s="126">
        <v>6</v>
      </c>
      <c r="E12" s="128">
        <v>2</v>
      </c>
      <c r="F12" s="128"/>
      <c r="G12" s="125"/>
      <c r="H12" s="125"/>
      <c r="I12" s="73">
        <f t="shared" si="1"/>
        <v>0</v>
      </c>
      <c r="J12" s="72">
        <f t="shared" si="2"/>
        <v>2</v>
      </c>
      <c r="K12" s="131">
        <v>2</v>
      </c>
      <c r="L12" s="131"/>
      <c r="M12" s="143"/>
      <c r="N12" s="203"/>
      <c r="O12" s="73">
        <f t="shared" si="8"/>
        <v>0</v>
      </c>
      <c r="P12" s="72">
        <f t="shared" si="3"/>
        <v>2</v>
      </c>
      <c r="Q12" s="131">
        <v>2</v>
      </c>
      <c r="R12" s="134"/>
      <c r="S12" s="127"/>
      <c r="T12" s="125"/>
      <c r="U12" s="73">
        <f t="shared" si="0"/>
        <v>0</v>
      </c>
      <c r="V12" s="72">
        <f t="shared" si="4"/>
        <v>2</v>
      </c>
      <c r="W12" s="72">
        <f t="shared" si="5"/>
        <v>6</v>
      </c>
      <c r="X12" s="72">
        <f t="shared" si="6"/>
        <v>0</v>
      </c>
    </row>
    <row r="13" spans="2:25">
      <c r="B13" s="159">
        <f t="shared" si="9"/>
        <v>8</v>
      </c>
      <c r="C13" s="70" t="s">
        <v>498</v>
      </c>
      <c r="D13" s="160">
        <v>3</v>
      </c>
      <c r="E13" s="128">
        <v>1</v>
      </c>
      <c r="F13" s="128"/>
      <c r="G13" s="159"/>
      <c r="H13" s="159"/>
      <c r="I13" s="73">
        <f t="shared" si="1"/>
        <v>0</v>
      </c>
      <c r="J13" s="72">
        <f t="shared" si="2"/>
        <v>1</v>
      </c>
      <c r="K13" s="131">
        <v>1</v>
      </c>
      <c r="L13" s="131"/>
      <c r="M13" s="159"/>
      <c r="N13" s="75"/>
      <c r="O13" s="73">
        <f t="shared" si="8"/>
        <v>0</v>
      </c>
      <c r="P13" s="72">
        <f t="shared" si="3"/>
        <v>1</v>
      </c>
      <c r="Q13" s="131">
        <v>1</v>
      </c>
      <c r="R13" s="131"/>
      <c r="S13" s="161"/>
      <c r="T13" s="159"/>
      <c r="U13" s="73">
        <f t="shared" si="0"/>
        <v>0</v>
      </c>
      <c r="V13" s="72">
        <f t="shared" si="4"/>
        <v>1</v>
      </c>
      <c r="W13" s="72">
        <f t="shared" si="5"/>
        <v>3</v>
      </c>
      <c r="X13" s="72">
        <f t="shared" si="6"/>
        <v>0</v>
      </c>
    </row>
    <row r="14" spans="2:25">
      <c r="B14" s="141">
        <f>B13+1</f>
        <v>9</v>
      </c>
      <c r="C14" s="70" t="s">
        <v>45</v>
      </c>
      <c r="D14" s="126"/>
      <c r="E14" s="71"/>
      <c r="F14" s="130"/>
      <c r="G14" s="125"/>
      <c r="H14" s="125"/>
      <c r="I14" s="73">
        <f>H14/8.5</f>
        <v>0</v>
      </c>
      <c r="J14" s="72">
        <f t="shared" si="2"/>
        <v>0</v>
      </c>
      <c r="K14" s="201"/>
      <c r="L14" s="201">
        <v>1</v>
      </c>
      <c r="M14" s="143"/>
      <c r="N14" s="143"/>
      <c r="O14" s="73"/>
      <c r="P14" s="72">
        <f t="shared" si="3"/>
        <v>0</v>
      </c>
      <c r="Q14" s="125"/>
      <c r="R14" s="125"/>
      <c r="S14" s="125"/>
      <c r="T14" s="125"/>
      <c r="U14" s="125"/>
      <c r="V14" s="72">
        <f t="shared" si="4"/>
        <v>0</v>
      </c>
      <c r="W14" s="72"/>
      <c r="X14" s="72"/>
    </row>
    <row r="15" spans="2:25">
      <c r="B15" s="141">
        <f t="shared" si="9"/>
        <v>10</v>
      </c>
      <c r="C15" s="70" t="s">
        <v>71</v>
      </c>
      <c r="D15" s="126"/>
      <c r="E15" s="71"/>
      <c r="F15" s="128">
        <v>3</v>
      </c>
      <c r="G15" s="125"/>
      <c r="H15" s="125"/>
      <c r="I15" s="73">
        <f>H15/8.5</f>
        <v>0</v>
      </c>
      <c r="J15" s="72">
        <f t="shared" si="2"/>
        <v>0</v>
      </c>
      <c r="K15" s="201"/>
      <c r="L15" s="201">
        <v>2</v>
      </c>
      <c r="M15" s="143"/>
      <c r="N15" s="143"/>
      <c r="O15" s="73"/>
      <c r="P15" s="72">
        <f t="shared" si="3"/>
        <v>0</v>
      </c>
      <c r="Q15" s="125"/>
      <c r="R15" s="125">
        <v>1</v>
      </c>
      <c r="S15" s="125"/>
      <c r="T15" s="125"/>
      <c r="U15" s="125"/>
      <c r="V15" s="72"/>
      <c r="W15" s="72"/>
      <c r="X15" s="72"/>
    </row>
    <row r="16" spans="2:25" ht="13.5" customHeight="1">
      <c r="B16" s="226" t="s">
        <v>33</v>
      </c>
      <c r="C16" s="227"/>
      <c r="D16" s="79"/>
      <c r="E16" s="80"/>
      <c r="F16" s="80"/>
      <c r="G16" s="37"/>
      <c r="H16" s="37"/>
      <c r="I16" s="37"/>
      <c r="J16" s="80"/>
      <c r="K16" s="135"/>
      <c r="L16" s="136"/>
      <c r="M16" s="37"/>
      <c r="N16" s="37"/>
      <c r="O16" s="37"/>
      <c r="P16" s="81"/>
      <c r="Q16" s="135"/>
      <c r="R16" s="136"/>
      <c r="S16" s="79"/>
      <c r="T16" s="79"/>
      <c r="U16" s="82"/>
      <c r="V16" s="83"/>
      <c r="W16" s="84"/>
      <c r="X16" s="72"/>
    </row>
    <row r="17" spans="2:27">
      <c r="B17" s="125">
        <f>B15+1</f>
        <v>11</v>
      </c>
      <c r="C17" s="70" t="s">
        <v>9</v>
      </c>
      <c r="D17" s="125">
        <v>3</v>
      </c>
      <c r="E17" s="128">
        <v>1</v>
      </c>
      <c r="F17" s="130"/>
      <c r="G17" s="125"/>
      <c r="H17" s="125"/>
      <c r="I17" s="75"/>
      <c r="J17" s="72">
        <f>I17+G17+E17</f>
        <v>1</v>
      </c>
      <c r="K17" s="131">
        <v>1</v>
      </c>
      <c r="L17" s="134"/>
      <c r="M17" s="143"/>
      <c r="N17" s="143"/>
      <c r="O17" s="75">
        <f>N17/8.5</f>
        <v>0</v>
      </c>
      <c r="P17" s="72">
        <f t="shared" si="3"/>
        <v>1</v>
      </c>
      <c r="Q17" s="131">
        <v>1</v>
      </c>
      <c r="R17" s="134"/>
      <c r="S17" s="127"/>
      <c r="T17" s="125"/>
      <c r="U17" s="73">
        <f>T17/8</f>
        <v>0</v>
      </c>
      <c r="V17" s="72">
        <f t="shared" si="4"/>
        <v>1</v>
      </c>
      <c r="W17" s="72">
        <f t="shared" si="5"/>
        <v>3</v>
      </c>
      <c r="X17" s="72">
        <f t="shared" si="6"/>
        <v>0</v>
      </c>
    </row>
    <row r="18" spans="2:27">
      <c r="B18" s="125">
        <f>B17+1</f>
        <v>12</v>
      </c>
      <c r="C18" s="70" t="s">
        <v>10</v>
      </c>
      <c r="D18" s="222">
        <v>42</v>
      </c>
      <c r="E18" s="130">
        <v>4</v>
      </c>
      <c r="F18" s="130">
        <v>14</v>
      </c>
      <c r="G18" s="125">
        <v>5.5</v>
      </c>
      <c r="H18" s="125">
        <v>2.5</v>
      </c>
      <c r="I18" s="75">
        <f>H18/8.5</f>
        <v>0.29411764705882354</v>
      </c>
      <c r="J18" s="218">
        <f>I18+G18+E18+G20+G19</f>
        <v>14.294117647058822</v>
      </c>
      <c r="K18" s="131">
        <v>2</v>
      </c>
      <c r="L18" s="131">
        <v>10</v>
      </c>
      <c r="M18" s="200">
        <v>8</v>
      </c>
      <c r="N18" s="203">
        <v>27</v>
      </c>
      <c r="O18" s="75">
        <f>N18/8.5</f>
        <v>3.1764705882352939</v>
      </c>
      <c r="P18" s="218">
        <f>O18+M18+K18+M20+M19+O20</f>
        <v>13.176470588235293</v>
      </c>
      <c r="Q18" s="131">
        <v>8</v>
      </c>
      <c r="R18" s="131">
        <v>9</v>
      </c>
      <c r="S18" s="208">
        <v>4</v>
      </c>
      <c r="T18" s="75">
        <v>16</v>
      </c>
      <c r="U18" s="73">
        <f>T18/8</f>
        <v>2</v>
      </c>
      <c r="V18" s="218">
        <f>U18+S18+Q18+S20+S19</f>
        <v>14</v>
      </c>
      <c r="W18" s="218">
        <f t="shared" si="5"/>
        <v>41.470588235294116</v>
      </c>
      <c r="X18" s="218">
        <f>W18-D18</f>
        <v>-0.52941176470588402</v>
      </c>
    </row>
    <row r="19" spans="2:27">
      <c r="B19" s="187">
        <f t="shared" ref="B19:B20" si="10">B18+1</f>
        <v>13</v>
      </c>
      <c r="C19" s="70" t="s">
        <v>516</v>
      </c>
      <c r="D19" s="230"/>
      <c r="E19" s="130"/>
      <c r="F19" s="130">
        <v>8</v>
      </c>
      <c r="G19" s="187">
        <v>4</v>
      </c>
      <c r="H19" s="187"/>
      <c r="I19" s="75"/>
      <c r="J19" s="219"/>
      <c r="K19" s="131"/>
      <c r="L19" s="131"/>
      <c r="M19" s="187"/>
      <c r="N19" s="75"/>
      <c r="O19" s="75"/>
      <c r="P19" s="219"/>
      <c r="Q19" s="131"/>
      <c r="R19" s="131"/>
      <c r="S19" s="187"/>
      <c r="T19" s="75"/>
      <c r="U19" s="73"/>
      <c r="V19" s="219"/>
      <c r="W19" s="219"/>
      <c r="X19" s="219"/>
    </row>
    <row r="20" spans="2:27">
      <c r="B20" s="187">
        <f t="shared" si="10"/>
        <v>14</v>
      </c>
      <c r="C20" s="70" t="s">
        <v>511</v>
      </c>
      <c r="D20" s="223"/>
      <c r="E20" s="130"/>
      <c r="F20" s="130">
        <v>1</v>
      </c>
      <c r="G20" s="181">
        <v>0.5</v>
      </c>
      <c r="H20" s="181"/>
      <c r="I20" s="75"/>
      <c r="J20" s="220"/>
      <c r="K20" s="131"/>
      <c r="L20" s="131"/>
      <c r="M20" s="181"/>
      <c r="N20" s="75"/>
      <c r="O20" s="75">
        <f t="shared" ref="O20:O26" si="11">N20/8.5</f>
        <v>0</v>
      </c>
      <c r="P20" s="220"/>
      <c r="Q20" s="131"/>
      <c r="R20" s="131"/>
      <c r="S20" s="181"/>
      <c r="T20" s="75"/>
      <c r="U20" s="73"/>
      <c r="V20" s="220"/>
      <c r="W20" s="220"/>
      <c r="X20" s="220"/>
    </row>
    <row r="21" spans="2:27">
      <c r="B21" s="141">
        <f>B20+1</f>
        <v>15</v>
      </c>
      <c r="C21" s="70" t="s">
        <v>39</v>
      </c>
      <c r="D21" s="125">
        <v>21</v>
      </c>
      <c r="E21" s="130">
        <v>7</v>
      </c>
      <c r="F21" s="71"/>
      <c r="G21" s="125"/>
      <c r="H21" s="125"/>
      <c r="I21" s="75">
        <f>H21/8</f>
        <v>0</v>
      </c>
      <c r="J21" s="72">
        <f t="shared" si="2"/>
        <v>7</v>
      </c>
      <c r="K21" s="158">
        <v>6</v>
      </c>
      <c r="L21" s="201"/>
      <c r="M21" s="143"/>
      <c r="N21" s="75">
        <v>8.5</v>
      </c>
      <c r="O21" s="75">
        <f t="shared" si="11"/>
        <v>1</v>
      </c>
      <c r="P21" s="72">
        <f t="shared" ref="P21:P28" si="12">O21+M21+K21</f>
        <v>7</v>
      </c>
      <c r="Q21" s="158">
        <v>6</v>
      </c>
      <c r="R21" s="125"/>
      <c r="S21" s="127"/>
      <c r="T21" s="125">
        <v>8</v>
      </c>
      <c r="U21" s="73">
        <f>T21/8</f>
        <v>1</v>
      </c>
      <c r="V21" s="72">
        <f t="shared" si="4"/>
        <v>7</v>
      </c>
      <c r="W21" s="72">
        <f t="shared" si="5"/>
        <v>21</v>
      </c>
      <c r="X21" s="72">
        <f t="shared" si="6"/>
        <v>0</v>
      </c>
    </row>
    <row r="22" spans="2:27">
      <c r="B22" s="141">
        <f t="shared" ref="B22:B28" si="13">B21+1</f>
        <v>16</v>
      </c>
      <c r="C22" s="70" t="s">
        <v>20</v>
      </c>
      <c r="D22" s="125">
        <v>1</v>
      </c>
      <c r="E22" s="128"/>
      <c r="F22" s="71"/>
      <c r="G22" s="125"/>
      <c r="H22" s="125"/>
      <c r="I22" s="75">
        <f>H22/8</f>
        <v>0</v>
      </c>
      <c r="J22" s="72">
        <f t="shared" si="2"/>
        <v>0</v>
      </c>
      <c r="K22" s="201"/>
      <c r="L22" s="184"/>
      <c r="M22" s="143"/>
      <c r="N22" s="143"/>
      <c r="O22" s="75">
        <f t="shared" si="11"/>
        <v>0</v>
      </c>
      <c r="P22" s="72">
        <f t="shared" si="12"/>
        <v>0</v>
      </c>
      <c r="Q22" s="125"/>
      <c r="R22" s="127"/>
      <c r="S22" s="127"/>
      <c r="T22" s="210"/>
      <c r="U22" s="125"/>
      <c r="V22" s="72">
        <f t="shared" si="4"/>
        <v>0</v>
      </c>
      <c r="W22" s="72">
        <f t="shared" si="5"/>
        <v>0</v>
      </c>
      <c r="X22" s="72">
        <f t="shared" si="6"/>
        <v>-1</v>
      </c>
    </row>
    <row r="23" spans="2:27">
      <c r="B23" s="141">
        <f t="shared" si="13"/>
        <v>17</v>
      </c>
      <c r="C23" s="70" t="s">
        <v>55</v>
      </c>
      <c r="D23" s="222">
        <v>3</v>
      </c>
      <c r="E23" s="129">
        <v>1</v>
      </c>
      <c r="F23" s="71"/>
      <c r="G23" s="125"/>
      <c r="H23" s="125"/>
      <c r="I23" s="75">
        <f>H23/8</f>
        <v>0</v>
      </c>
      <c r="J23" s="72">
        <f t="shared" si="2"/>
        <v>1</v>
      </c>
      <c r="K23" s="131"/>
      <c r="L23" s="201"/>
      <c r="M23" s="143"/>
      <c r="N23" s="143">
        <v>2.5</v>
      </c>
      <c r="O23" s="73">
        <f t="shared" si="11"/>
        <v>0.29411764705882354</v>
      </c>
      <c r="P23" s="72">
        <f t="shared" si="12"/>
        <v>0.29411764705882354</v>
      </c>
      <c r="Q23" s="131">
        <v>1</v>
      </c>
      <c r="R23" s="125"/>
      <c r="S23" s="125"/>
      <c r="T23" s="125"/>
      <c r="U23" s="73">
        <f>T23/8</f>
        <v>0</v>
      </c>
      <c r="V23" s="72">
        <f t="shared" si="4"/>
        <v>1</v>
      </c>
      <c r="W23" s="72">
        <f t="shared" si="5"/>
        <v>2.2941176470588234</v>
      </c>
      <c r="X23" s="235">
        <f>W23+W24-D23</f>
        <v>0.29411764705882337</v>
      </c>
    </row>
    <row r="24" spans="2:27">
      <c r="B24" s="141">
        <f t="shared" si="13"/>
        <v>18</v>
      </c>
      <c r="C24" s="70" t="s">
        <v>56</v>
      </c>
      <c r="D24" s="223"/>
      <c r="E24" s="76"/>
      <c r="F24" s="71"/>
      <c r="G24" s="125"/>
      <c r="H24" s="125"/>
      <c r="I24" s="125"/>
      <c r="J24" s="72">
        <f>I24+G24+E24</f>
        <v>0</v>
      </c>
      <c r="K24" s="77">
        <v>1</v>
      </c>
      <c r="L24" s="184"/>
      <c r="M24" s="143"/>
      <c r="N24" s="143"/>
      <c r="O24" s="73">
        <f t="shared" si="11"/>
        <v>0</v>
      </c>
      <c r="P24" s="72">
        <f t="shared" si="12"/>
        <v>1</v>
      </c>
      <c r="Q24" s="77"/>
      <c r="R24" s="127"/>
      <c r="S24" s="127"/>
      <c r="T24" s="125"/>
      <c r="U24" s="73"/>
      <c r="V24" s="72">
        <f>U24+S24+Q24</f>
        <v>0</v>
      </c>
      <c r="W24" s="72">
        <f t="shared" si="5"/>
        <v>1</v>
      </c>
      <c r="X24" s="235"/>
    </row>
    <row r="25" spans="2:27">
      <c r="B25" s="189">
        <f t="shared" si="13"/>
        <v>19</v>
      </c>
      <c r="C25" s="70" t="s">
        <v>517</v>
      </c>
      <c r="D25" s="190">
        <v>3</v>
      </c>
      <c r="E25" s="76">
        <v>1</v>
      </c>
      <c r="F25" s="71"/>
      <c r="G25" s="189"/>
      <c r="H25" s="189"/>
      <c r="I25" s="189"/>
      <c r="J25" s="72">
        <f>I25+G25+E25</f>
        <v>1</v>
      </c>
      <c r="K25" s="77"/>
      <c r="L25" s="184"/>
      <c r="M25" s="189"/>
      <c r="N25" s="189">
        <v>8</v>
      </c>
      <c r="O25" s="73">
        <f t="shared" si="11"/>
        <v>0.94117647058823528</v>
      </c>
      <c r="P25" s="72">
        <f>O25+M25+K25</f>
        <v>0.94117647058823528</v>
      </c>
      <c r="Q25" s="77">
        <v>1</v>
      </c>
      <c r="R25" s="184"/>
      <c r="S25" s="184"/>
      <c r="T25" s="189"/>
      <c r="U25" s="73">
        <f>T25/8</f>
        <v>0</v>
      </c>
      <c r="V25" s="72">
        <f>U25+S25+Q25</f>
        <v>1</v>
      </c>
      <c r="W25" s="72">
        <f>V25+P25+J25</f>
        <v>2.9411764705882355</v>
      </c>
      <c r="X25" s="72">
        <f>W25-D25</f>
        <v>-5.8823529411764497E-2</v>
      </c>
      <c r="AA25" s="211"/>
    </row>
    <row r="26" spans="2:27">
      <c r="B26" s="189">
        <f t="shared" si="13"/>
        <v>20</v>
      </c>
      <c r="C26" s="70" t="s">
        <v>44</v>
      </c>
      <c r="D26" s="125">
        <v>3</v>
      </c>
      <c r="E26" s="128">
        <v>1</v>
      </c>
      <c r="F26" s="128"/>
      <c r="G26" s="125"/>
      <c r="H26" s="125"/>
      <c r="I26" s="125"/>
      <c r="J26" s="72">
        <f>I26+G26+E26</f>
        <v>1</v>
      </c>
      <c r="K26" s="132">
        <v>1</v>
      </c>
      <c r="L26" s="201"/>
      <c r="M26" s="143"/>
      <c r="N26" s="143"/>
      <c r="O26" s="73">
        <f t="shared" si="11"/>
        <v>0</v>
      </c>
      <c r="P26" s="72">
        <f t="shared" si="12"/>
        <v>1</v>
      </c>
      <c r="Q26" s="132">
        <v>2</v>
      </c>
      <c r="R26" s="125"/>
      <c r="S26" s="127"/>
      <c r="T26" s="125"/>
      <c r="U26" s="73">
        <f t="shared" ref="U26" si="14">T26/8</f>
        <v>0</v>
      </c>
      <c r="V26" s="72">
        <f t="shared" si="4"/>
        <v>2</v>
      </c>
      <c r="W26" s="72">
        <f t="shared" si="5"/>
        <v>4</v>
      </c>
      <c r="X26" s="72">
        <f t="shared" si="6"/>
        <v>1</v>
      </c>
      <c r="AA26" s="211"/>
    </row>
    <row r="27" spans="2:27">
      <c r="B27" s="141">
        <f t="shared" si="13"/>
        <v>21</v>
      </c>
      <c r="C27" s="70" t="s">
        <v>45</v>
      </c>
      <c r="D27" s="125"/>
      <c r="E27" s="128"/>
      <c r="F27" s="130">
        <v>1</v>
      </c>
      <c r="G27" s="125"/>
      <c r="H27" s="125"/>
      <c r="I27" s="75">
        <f>H27/8</f>
        <v>0</v>
      </c>
      <c r="J27" s="72">
        <f t="shared" si="2"/>
        <v>0</v>
      </c>
      <c r="K27" s="201"/>
      <c r="L27" s="201"/>
      <c r="M27" s="143"/>
      <c r="N27" s="203"/>
      <c r="O27" s="75"/>
      <c r="P27" s="72">
        <f t="shared" si="12"/>
        <v>0</v>
      </c>
      <c r="Q27" s="125"/>
      <c r="R27" s="125"/>
      <c r="S27" s="125"/>
      <c r="T27" s="142"/>
      <c r="U27" s="73"/>
      <c r="V27" s="72"/>
      <c r="W27" s="72"/>
      <c r="X27" s="72"/>
      <c r="AA27" s="211"/>
    </row>
    <row r="28" spans="2:27">
      <c r="B28" s="141">
        <f t="shared" si="13"/>
        <v>22</v>
      </c>
      <c r="C28" s="70" t="s">
        <v>71</v>
      </c>
      <c r="D28" s="125"/>
      <c r="E28" s="128"/>
      <c r="F28" s="128"/>
      <c r="G28" s="125"/>
      <c r="H28" s="125"/>
      <c r="I28" s="125"/>
      <c r="J28" s="72">
        <f t="shared" si="2"/>
        <v>0</v>
      </c>
      <c r="K28" s="201"/>
      <c r="L28" s="201"/>
      <c r="M28" s="143"/>
      <c r="N28" s="143"/>
      <c r="O28" s="75"/>
      <c r="P28" s="72">
        <f t="shared" si="12"/>
        <v>0</v>
      </c>
      <c r="Q28" s="125"/>
      <c r="R28" s="125"/>
      <c r="S28" s="125"/>
      <c r="T28" s="125"/>
      <c r="U28" s="125"/>
      <c r="V28" s="86"/>
      <c r="W28" s="86"/>
      <c r="X28" s="86"/>
      <c r="AA28" s="211"/>
    </row>
    <row r="29" spans="2:27" ht="14.25" customHeight="1">
      <c r="B29" s="226" t="s">
        <v>12</v>
      </c>
      <c r="C29" s="227"/>
      <c r="D29" s="79"/>
      <c r="E29" s="80"/>
      <c r="F29" s="80"/>
      <c r="G29" s="37"/>
      <c r="H29" s="37"/>
      <c r="I29" s="37"/>
      <c r="J29" s="80"/>
      <c r="K29" s="37"/>
      <c r="L29" s="79"/>
      <c r="M29" s="37"/>
      <c r="N29" s="37"/>
      <c r="O29" s="37"/>
      <c r="P29" s="81"/>
      <c r="Q29" s="37"/>
      <c r="R29" s="79"/>
      <c r="S29" s="79"/>
      <c r="T29" s="79"/>
      <c r="U29" s="79"/>
      <c r="V29" s="87"/>
      <c r="W29" s="88"/>
      <c r="X29" s="89"/>
      <c r="AA29" s="211"/>
    </row>
    <row r="30" spans="2:27">
      <c r="B30" s="125">
        <f>B28+1</f>
        <v>23</v>
      </c>
      <c r="C30" s="70" t="s">
        <v>12</v>
      </c>
      <c r="D30" s="125">
        <v>27</v>
      </c>
      <c r="E30" s="130">
        <v>10</v>
      </c>
      <c r="F30" s="130"/>
      <c r="G30" s="125"/>
      <c r="H30" s="125"/>
      <c r="I30" s="75">
        <f>H30/8</f>
        <v>0</v>
      </c>
      <c r="J30" s="72">
        <f>I30+G30+E30</f>
        <v>10</v>
      </c>
      <c r="K30" s="131">
        <v>2</v>
      </c>
      <c r="L30" s="131">
        <v>8</v>
      </c>
      <c r="M30" s="143">
        <v>6</v>
      </c>
      <c r="N30" s="205"/>
      <c r="O30" s="73">
        <f>N30/8.5</f>
        <v>0</v>
      </c>
      <c r="P30" s="85">
        <f>O30+M30+K30</f>
        <v>8</v>
      </c>
      <c r="Q30" s="131">
        <v>4</v>
      </c>
      <c r="R30" s="131">
        <v>9</v>
      </c>
      <c r="S30" s="137">
        <v>5</v>
      </c>
      <c r="T30" s="137"/>
      <c r="U30" s="73">
        <f>T30/8</f>
        <v>0</v>
      </c>
      <c r="V30" s="90">
        <f>U30+S30+Q30</f>
        <v>9</v>
      </c>
      <c r="W30" s="90">
        <f t="shared" si="5"/>
        <v>27</v>
      </c>
      <c r="X30" s="90">
        <f t="shared" si="6"/>
        <v>0</v>
      </c>
      <c r="Z30" s="3"/>
      <c r="AA30" s="211"/>
    </row>
    <row r="31" spans="2:27">
      <c r="B31" s="125">
        <f>B30+1</f>
        <v>24</v>
      </c>
      <c r="C31" s="70" t="s">
        <v>23</v>
      </c>
      <c r="D31" s="78">
        <v>15</v>
      </c>
      <c r="E31" s="130">
        <v>2</v>
      </c>
      <c r="F31" s="128">
        <v>3</v>
      </c>
      <c r="G31" s="125">
        <v>3</v>
      </c>
      <c r="H31" s="125"/>
      <c r="I31" s="75">
        <f>H31/8</f>
        <v>0</v>
      </c>
      <c r="J31" s="72">
        <f>I31+G31+E31</f>
        <v>5</v>
      </c>
      <c r="K31" s="131">
        <v>4</v>
      </c>
      <c r="L31" s="201">
        <v>2</v>
      </c>
      <c r="M31" s="143">
        <v>1</v>
      </c>
      <c r="N31" s="64"/>
      <c r="O31" s="73">
        <f>N31/8.5</f>
        <v>0</v>
      </c>
      <c r="P31" s="85">
        <f t="shared" ref="P31:P35" si="15">O31+M31+K31</f>
        <v>5</v>
      </c>
      <c r="Q31" s="131">
        <v>2</v>
      </c>
      <c r="R31" s="125"/>
      <c r="S31" s="125"/>
      <c r="T31" s="125"/>
      <c r="U31" s="73">
        <f>T31/8</f>
        <v>0</v>
      </c>
      <c r="V31" s="72">
        <f t="shared" si="4"/>
        <v>2</v>
      </c>
      <c r="W31" s="72">
        <f t="shared" si="5"/>
        <v>12</v>
      </c>
      <c r="X31" s="72">
        <f t="shared" si="6"/>
        <v>-3</v>
      </c>
      <c r="Y31" s="1" t="s">
        <v>507</v>
      </c>
      <c r="AA31" s="211"/>
    </row>
    <row r="32" spans="2:27">
      <c r="B32" s="141">
        <f t="shared" ref="B32:B36" si="16">B31+1</f>
        <v>25</v>
      </c>
      <c r="C32" s="70" t="s">
        <v>19</v>
      </c>
      <c r="D32" s="125">
        <v>1</v>
      </c>
      <c r="E32" s="128">
        <v>1</v>
      </c>
      <c r="F32" s="128"/>
      <c r="G32" s="127"/>
      <c r="H32" s="125"/>
      <c r="I32" s="125"/>
      <c r="J32" s="72">
        <f>I32+G32+E32</f>
        <v>1</v>
      </c>
      <c r="K32" s="201"/>
      <c r="L32" s="184"/>
      <c r="M32" s="146"/>
      <c r="N32" s="143"/>
      <c r="O32" s="125"/>
      <c r="P32" s="85">
        <f t="shared" si="15"/>
        <v>0</v>
      </c>
      <c r="Q32" s="125"/>
      <c r="R32" s="127"/>
      <c r="S32" s="127"/>
      <c r="T32" s="127"/>
      <c r="U32" s="127"/>
      <c r="V32" s="72">
        <f t="shared" si="4"/>
        <v>0</v>
      </c>
      <c r="W32" s="72">
        <f t="shared" si="5"/>
        <v>1</v>
      </c>
      <c r="X32" s="72">
        <f t="shared" si="6"/>
        <v>0</v>
      </c>
      <c r="AA32" s="211"/>
    </row>
    <row r="33" spans="2:27">
      <c r="B33" s="141">
        <f t="shared" si="16"/>
        <v>26</v>
      </c>
      <c r="C33" s="70" t="s">
        <v>21</v>
      </c>
      <c r="D33" s="125">
        <v>2</v>
      </c>
      <c r="E33" s="202"/>
      <c r="F33" s="128"/>
      <c r="G33" s="125"/>
      <c r="H33" s="125"/>
      <c r="I33" s="125"/>
      <c r="J33" s="72">
        <f t="shared" si="2"/>
        <v>0</v>
      </c>
      <c r="K33" s="201"/>
      <c r="L33" s="184"/>
      <c r="M33" s="146"/>
      <c r="N33" s="146"/>
      <c r="O33" s="127"/>
      <c r="P33" s="85">
        <f t="shared" si="15"/>
        <v>0</v>
      </c>
      <c r="Q33" s="125"/>
      <c r="R33" s="127"/>
      <c r="S33" s="127"/>
      <c r="T33" s="127"/>
      <c r="U33" s="127"/>
      <c r="V33" s="72">
        <f t="shared" si="4"/>
        <v>0</v>
      </c>
      <c r="W33" s="72">
        <f t="shared" si="5"/>
        <v>0</v>
      </c>
      <c r="X33" s="72">
        <f t="shared" si="6"/>
        <v>-2</v>
      </c>
      <c r="AA33" s="211"/>
    </row>
    <row r="34" spans="2:27">
      <c r="B34" s="141">
        <f t="shared" si="16"/>
        <v>27</v>
      </c>
      <c r="C34" s="91" t="s">
        <v>18</v>
      </c>
      <c r="D34" s="125">
        <v>1</v>
      </c>
      <c r="E34" s="130"/>
      <c r="F34" s="128"/>
      <c r="G34" s="127"/>
      <c r="H34" s="125"/>
      <c r="I34" s="75">
        <f>H34/8</f>
        <v>0</v>
      </c>
      <c r="J34" s="72">
        <f t="shared" si="2"/>
        <v>0</v>
      </c>
      <c r="K34" s="201">
        <v>1</v>
      </c>
      <c r="L34" s="184"/>
      <c r="M34" s="146"/>
      <c r="N34" s="120"/>
      <c r="O34" s="73"/>
      <c r="P34" s="85">
        <f t="shared" si="15"/>
        <v>1</v>
      </c>
      <c r="Q34" s="125">
        <v>1</v>
      </c>
      <c r="R34" s="127"/>
      <c r="S34" s="127"/>
      <c r="T34" s="127"/>
      <c r="U34" s="73">
        <f>T34/8</f>
        <v>0</v>
      </c>
      <c r="V34" s="72">
        <f t="shared" si="4"/>
        <v>1</v>
      </c>
      <c r="W34" s="72">
        <f t="shared" si="5"/>
        <v>2</v>
      </c>
      <c r="X34" s="72">
        <f t="shared" si="6"/>
        <v>1</v>
      </c>
      <c r="Y34" s="9"/>
      <c r="Z34" s="9"/>
      <c r="AA34" s="211"/>
    </row>
    <row r="35" spans="2:27">
      <c r="B35" s="141">
        <f>+B34+1</f>
        <v>28</v>
      </c>
      <c r="C35" s="70" t="s">
        <v>45</v>
      </c>
      <c r="D35" s="125"/>
      <c r="E35" s="128"/>
      <c r="F35" s="130"/>
      <c r="G35" s="125"/>
      <c r="H35" s="125"/>
      <c r="I35" s="73">
        <f>H35/8.5</f>
        <v>0</v>
      </c>
      <c r="J35" s="72">
        <f t="shared" si="2"/>
        <v>0</v>
      </c>
      <c r="K35" s="201"/>
      <c r="L35" s="201"/>
      <c r="M35" s="143"/>
      <c r="N35" s="78"/>
      <c r="O35" s="73"/>
      <c r="P35" s="85">
        <f t="shared" si="15"/>
        <v>0</v>
      </c>
      <c r="Q35" s="125"/>
      <c r="R35" s="125"/>
      <c r="S35" s="125"/>
      <c r="T35" s="125"/>
      <c r="U35" s="73">
        <f>T35/8</f>
        <v>0</v>
      </c>
      <c r="V35" s="72"/>
      <c r="W35" s="72"/>
      <c r="X35" s="72"/>
      <c r="AA35" s="211"/>
    </row>
    <row r="36" spans="2:27">
      <c r="B36" s="141">
        <f t="shared" si="16"/>
        <v>29</v>
      </c>
      <c r="C36" s="70" t="s">
        <v>71</v>
      </c>
      <c r="D36" s="125"/>
      <c r="E36" s="71"/>
      <c r="F36" s="71"/>
      <c r="G36" s="125"/>
      <c r="H36" s="125"/>
      <c r="I36" s="125"/>
      <c r="J36" s="72">
        <f t="shared" si="2"/>
        <v>0</v>
      </c>
      <c r="K36" s="201"/>
      <c r="L36" s="201"/>
      <c r="M36" s="143"/>
      <c r="N36" s="143"/>
      <c r="O36" s="125"/>
      <c r="P36" s="85"/>
      <c r="Q36" s="125"/>
      <c r="R36" s="125"/>
      <c r="S36" s="125"/>
      <c r="T36" s="125"/>
      <c r="U36" s="125"/>
      <c r="V36" s="86"/>
      <c r="W36" s="86"/>
      <c r="X36" s="86"/>
      <c r="AA36" s="211"/>
    </row>
    <row r="37" spans="2:27" ht="14.25" customHeight="1">
      <c r="B37" s="226" t="s">
        <v>34</v>
      </c>
      <c r="C37" s="227"/>
      <c r="D37" s="79"/>
      <c r="E37" s="80"/>
      <c r="F37" s="80"/>
      <c r="G37" s="79"/>
      <c r="H37" s="79"/>
      <c r="I37" s="79"/>
      <c r="J37" s="80"/>
      <c r="K37" s="37"/>
      <c r="L37" s="79"/>
      <c r="M37" s="79"/>
      <c r="N37" s="79"/>
      <c r="O37" s="79"/>
      <c r="P37" s="81"/>
      <c r="Q37" s="37"/>
      <c r="R37" s="79"/>
      <c r="S37" s="79"/>
      <c r="T37" s="79"/>
      <c r="U37" s="79"/>
      <c r="V37" s="87"/>
      <c r="W37" s="88"/>
      <c r="X37" s="89"/>
      <c r="AA37" s="211"/>
    </row>
    <row r="38" spans="2:27">
      <c r="B38" s="125">
        <f>B36+1</f>
        <v>30</v>
      </c>
      <c r="C38" s="70" t="s">
        <v>13</v>
      </c>
      <c r="D38" s="125">
        <v>6</v>
      </c>
      <c r="E38" s="164">
        <v>2</v>
      </c>
      <c r="F38" s="165"/>
      <c r="G38" s="127"/>
      <c r="H38" s="125"/>
      <c r="I38" s="73">
        <f>H38/8.5</f>
        <v>0</v>
      </c>
      <c r="J38" s="72">
        <f t="shared" si="2"/>
        <v>2</v>
      </c>
      <c r="K38" s="131">
        <v>2</v>
      </c>
      <c r="L38" s="184"/>
      <c r="M38" s="143"/>
      <c r="N38" s="78"/>
      <c r="O38" s="73">
        <f>N38/8.5</f>
        <v>0</v>
      </c>
      <c r="P38" s="85">
        <f t="shared" ref="P38:P44" si="17">O38+M38+K38</f>
        <v>2</v>
      </c>
      <c r="Q38" s="131">
        <v>2</v>
      </c>
      <c r="R38" s="127"/>
      <c r="S38" s="127"/>
      <c r="T38" s="125"/>
      <c r="U38" s="73">
        <f>T38/8</f>
        <v>0</v>
      </c>
      <c r="V38" s="90">
        <f t="shared" si="4"/>
        <v>2</v>
      </c>
      <c r="W38" s="90">
        <f>V38+P38+J38</f>
        <v>6</v>
      </c>
      <c r="X38" s="90">
        <f t="shared" si="6"/>
        <v>0</v>
      </c>
      <c r="AA38" s="211"/>
    </row>
    <row r="39" spans="2:27" ht="30">
      <c r="B39" s="192">
        <f t="shared" ref="B39:B54" si="18">B38+1</f>
        <v>31</v>
      </c>
      <c r="C39" s="194" t="s">
        <v>518</v>
      </c>
      <c r="D39" s="192">
        <v>3</v>
      </c>
      <c r="E39" s="195"/>
      <c r="F39" s="195"/>
      <c r="G39" s="101"/>
      <c r="H39" s="192"/>
      <c r="I39" s="196">
        <f>H39/8.5</f>
        <v>0</v>
      </c>
      <c r="J39" s="193">
        <f t="shared" si="2"/>
        <v>0</v>
      </c>
      <c r="K39" s="198">
        <v>1</v>
      </c>
      <c r="L39" s="212"/>
      <c r="M39" s="101"/>
      <c r="N39" s="192"/>
      <c r="O39" s="73">
        <f>N39/8.5</f>
        <v>0</v>
      </c>
      <c r="P39" s="197">
        <f t="shared" si="17"/>
        <v>1</v>
      </c>
      <c r="Q39" s="198">
        <v>1</v>
      </c>
      <c r="R39" s="101"/>
      <c r="S39" s="101"/>
      <c r="T39" s="192"/>
      <c r="U39" s="192"/>
      <c r="V39" s="193">
        <f t="shared" si="4"/>
        <v>1</v>
      </c>
      <c r="W39" s="193">
        <f t="shared" si="5"/>
        <v>2</v>
      </c>
      <c r="X39" s="193">
        <f t="shared" si="6"/>
        <v>-1</v>
      </c>
      <c r="AA39" s="211"/>
    </row>
    <row r="40" spans="2:27">
      <c r="B40" s="141">
        <f t="shared" si="18"/>
        <v>32</v>
      </c>
      <c r="C40" s="70" t="s">
        <v>14</v>
      </c>
      <c r="D40" s="125">
        <v>9</v>
      </c>
      <c r="E40" s="164">
        <v>8</v>
      </c>
      <c r="F40" s="164"/>
      <c r="G40" s="138"/>
      <c r="H40" s="125"/>
      <c r="I40" s="125"/>
      <c r="J40" s="72">
        <f t="shared" si="2"/>
        <v>8</v>
      </c>
      <c r="K40" s="201"/>
      <c r="L40" s="184"/>
      <c r="M40" s="146"/>
      <c r="N40" s="143"/>
      <c r="O40" s="73">
        <f t="shared" ref="O40:O47" si="19">N40/8.5</f>
        <v>0</v>
      </c>
      <c r="P40" s="85">
        <f t="shared" si="17"/>
        <v>0</v>
      </c>
      <c r="Q40" s="125"/>
      <c r="R40" s="127"/>
      <c r="S40" s="127"/>
      <c r="T40" s="127"/>
      <c r="U40" s="127"/>
      <c r="V40" s="72">
        <f t="shared" si="4"/>
        <v>0</v>
      </c>
      <c r="W40" s="72">
        <f t="shared" si="5"/>
        <v>8</v>
      </c>
      <c r="X40" s="72">
        <f t="shared" si="6"/>
        <v>-1</v>
      </c>
      <c r="AA40" s="211"/>
    </row>
    <row r="41" spans="2:27">
      <c r="B41" s="141">
        <f t="shared" si="18"/>
        <v>33</v>
      </c>
      <c r="C41" s="70" t="s">
        <v>62</v>
      </c>
      <c r="D41" s="125">
        <v>5</v>
      </c>
      <c r="E41" s="164">
        <v>4</v>
      </c>
      <c r="F41" s="164">
        <v>2</v>
      </c>
      <c r="G41" s="125">
        <v>1</v>
      </c>
      <c r="H41" s="204"/>
      <c r="I41" s="73">
        <f>H41/8.5</f>
        <v>0</v>
      </c>
      <c r="J41" s="72">
        <f t="shared" si="2"/>
        <v>5</v>
      </c>
      <c r="K41" s="201"/>
      <c r="L41" s="131"/>
      <c r="M41" s="143"/>
      <c r="N41" s="143"/>
      <c r="O41" s="73">
        <f t="shared" si="19"/>
        <v>0</v>
      </c>
      <c r="P41" s="85">
        <f t="shared" si="17"/>
        <v>0</v>
      </c>
      <c r="Q41" s="125"/>
      <c r="R41" s="131"/>
      <c r="S41" s="125"/>
      <c r="T41" s="125"/>
      <c r="U41" s="75">
        <f>T41/8</f>
        <v>0</v>
      </c>
      <c r="V41" s="72">
        <f t="shared" si="4"/>
        <v>0</v>
      </c>
      <c r="W41" s="72">
        <f t="shared" si="5"/>
        <v>5</v>
      </c>
      <c r="X41" s="72">
        <f t="shared" si="6"/>
        <v>0</v>
      </c>
      <c r="AA41" s="211"/>
    </row>
    <row r="42" spans="2:27">
      <c r="B42" s="173">
        <f t="shared" si="18"/>
        <v>34</v>
      </c>
      <c r="C42" s="70" t="s">
        <v>35</v>
      </c>
      <c r="D42" s="222">
        <v>15</v>
      </c>
      <c r="E42" s="164">
        <v>6</v>
      </c>
      <c r="F42" s="164">
        <v>2</v>
      </c>
      <c r="G42" s="125">
        <v>1</v>
      </c>
      <c r="H42" s="125"/>
      <c r="I42" s="73">
        <f>H42/8.5</f>
        <v>0</v>
      </c>
      <c r="J42" s="218">
        <f>I42+G42+E42+E43</f>
        <v>14</v>
      </c>
      <c r="K42" s="201"/>
      <c r="L42" s="214"/>
      <c r="M42" s="146"/>
      <c r="N42" s="143"/>
      <c r="O42" s="73">
        <f t="shared" si="19"/>
        <v>0</v>
      </c>
      <c r="P42" s="218">
        <f>O42+M42+K42+K43</f>
        <v>0</v>
      </c>
      <c r="Q42" s="138"/>
      <c r="R42" s="216"/>
      <c r="S42" s="127"/>
      <c r="T42" s="127"/>
      <c r="U42" s="127"/>
      <c r="V42" s="218">
        <f>U42+S42+Q42+Q43</f>
        <v>0</v>
      </c>
      <c r="W42" s="139">
        <f>V42:V42+P42:P42+J42:J42</f>
        <v>14</v>
      </c>
      <c r="X42" s="139">
        <f>W42:W42-D42</f>
        <v>-1</v>
      </c>
      <c r="AA42" s="211"/>
    </row>
    <row r="43" spans="2:27">
      <c r="B43" s="173">
        <f t="shared" si="18"/>
        <v>35</v>
      </c>
      <c r="C43" s="70" t="s">
        <v>505</v>
      </c>
      <c r="D43" s="223"/>
      <c r="E43" s="164">
        <v>7</v>
      </c>
      <c r="F43" s="164"/>
      <c r="G43" s="173"/>
      <c r="H43" s="173"/>
      <c r="I43" s="73"/>
      <c r="J43" s="220"/>
      <c r="K43" s="201"/>
      <c r="L43" s="214"/>
      <c r="M43" s="174"/>
      <c r="N43" s="173"/>
      <c r="O43" s="73"/>
      <c r="P43" s="220"/>
      <c r="Q43" s="173"/>
      <c r="R43" s="174"/>
      <c r="S43" s="174"/>
      <c r="T43" s="174"/>
      <c r="U43" s="174"/>
      <c r="V43" s="220"/>
      <c r="W43" s="172">
        <f>V43:V43+P43:P43+J43:J43</f>
        <v>0</v>
      </c>
      <c r="X43" s="172">
        <f>W43:W43-D43</f>
        <v>0</v>
      </c>
      <c r="AA43" s="211"/>
    </row>
    <row r="44" spans="2:27">
      <c r="B44" s="173">
        <f t="shared" si="18"/>
        <v>36</v>
      </c>
      <c r="C44" s="91" t="s">
        <v>27</v>
      </c>
      <c r="D44" s="78">
        <v>3</v>
      </c>
      <c r="E44" s="164">
        <v>2</v>
      </c>
      <c r="F44" s="166"/>
      <c r="G44" s="127"/>
      <c r="H44" s="125"/>
      <c r="I44" s="127"/>
      <c r="J44" s="72">
        <f t="shared" ref="J44:J54" si="20">I44+G44+E44</f>
        <v>2</v>
      </c>
      <c r="K44" s="184"/>
      <c r="L44" s="214"/>
      <c r="M44" s="146"/>
      <c r="N44" s="143"/>
      <c r="O44" s="73">
        <f t="shared" si="19"/>
        <v>0</v>
      </c>
      <c r="P44" s="85">
        <f t="shared" si="17"/>
        <v>0</v>
      </c>
      <c r="Q44" s="127"/>
      <c r="R44" s="127"/>
      <c r="S44" s="127"/>
      <c r="T44" s="126">
        <v>4</v>
      </c>
      <c r="U44" s="75">
        <f>T44/8</f>
        <v>0.5</v>
      </c>
      <c r="V44" s="72">
        <f t="shared" si="4"/>
        <v>0.5</v>
      </c>
      <c r="W44" s="72">
        <f t="shared" si="5"/>
        <v>2.5</v>
      </c>
      <c r="X44" s="72">
        <f t="shared" si="6"/>
        <v>-0.5</v>
      </c>
      <c r="AA44" s="211"/>
    </row>
    <row r="45" spans="2:27">
      <c r="B45" s="173">
        <f t="shared" si="18"/>
        <v>37</v>
      </c>
      <c r="C45" s="70" t="s">
        <v>24</v>
      </c>
      <c r="D45" s="125">
        <v>6</v>
      </c>
      <c r="E45" s="158">
        <v>3</v>
      </c>
      <c r="F45" s="74"/>
      <c r="G45" s="125"/>
      <c r="H45" s="125"/>
      <c r="I45" s="75">
        <f>H45/8</f>
        <v>0</v>
      </c>
      <c r="J45" s="72">
        <f t="shared" si="20"/>
        <v>3</v>
      </c>
      <c r="K45" s="201"/>
      <c r="L45" s="184"/>
      <c r="M45" s="146"/>
      <c r="N45" s="75">
        <v>9.5</v>
      </c>
      <c r="O45" s="73">
        <f t="shared" si="19"/>
        <v>1.1176470588235294</v>
      </c>
      <c r="P45" s="85">
        <f t="shared" ref="P45:P54" si="21">O45+M45+K45</f>
        <v>1.1176470588235294</v>
      </c>
      <c r="Q45" s="125"/>
      <c r="R45" s="127"/>
      <c r="S45" s="127"/>
      <c r="T45" s="127"/>
      <c r="U45" s="75">
        <f>T45/8</f>
        <v>0</v>
      </c>
      <c r="V45" s="72">
        <f t="shared" si="4"/>
        <v>0</v>
      </c>
      <c r="W45" s="72">
        <f t="shared" si="5"/>
        <v>4.117647058823529</v>
      </c>
      <c r="X45" s="72">
        <f t="shared" si="6"/>
        <v>-1.882352941176471</v>
      </c>
      <c r="AA45" s="211"/>
    </row>
    <row r="46" spans="2:27">
      <c r="B46" s="173">
        <f t="shared" si="18"/>
        <v>38</v>
      </c>
      <c r="C46" s="70" t="s">
        <v>25</v>
      </c>
      <c r="D46" s="125">
        <v>19</v>
      </c>
      <c r="E46" s="158">
        <v>20</v>
      </c>
      <c r="F46" s="74"/>
      <c r="G46" s="125"/>
      <c r="H46" s="125"/>
      <c r="I46" s="73"/>
      <c r="J46" s="72">
        <f t="shared" si="20"/>
        <v>20</v>
      </c>
      <c r="K46" s="131">
        <v>1</v>
      </c>
      <c r="L46" s="201"/>
      <c r="M46" s="146"/>
      <c r="N46" s="75">
        <v>26</v>
      </c>
      <c r="O46" s="73">
        <f t="shared" si="19"/>
        <v>3.0588235294117645</v>
      </c>
      <c r="P46" s="85">
        <f t="shared" si="21"/>
        <v>4.0588235294117645</v>
      </c>
      <c r="Q46" s="131">
        <v>1</v>
      </c>
      <c r="R46" s="125"/>
      <c r="S46" s="125"/>
      <c r="T46" s="125"/>
      <c r="U46" s="75">
        <f>T46/8</f>
        <v>0</v>
      </c>
      <c r="V46" s="72">
        <f t="shared" si="4"/>
        <v>1</v>
      </c>
      <c r="W46" s="72">
        <f t="shared" si="5"/>
        <v>25.058823529411764</v>
      </c>
      <c r="X46" s="72">
        <f t="shared" si="6"/>
        <v>6.0588235294117645</v>
      </c>
      <c r="AA46" s="211"/>
    </row>
    <row r="47" spans="2:27">
      <c r="B47" s="173">
        <f t="shared" si="18"/>
        <v>39</v>
      </c>
      <c r="C47" s="70" t="s">
        <v>26</v>
      </c>
      <c r="D47" s="222">
        <v>25</v>
      </c>
      <c r="E47" s="164">
        <v>13</v>
      </c>
      <c r="F47" s="209"/>
      <c r="G47" s="125"/>
      <c r="H47" s="125"/>
      <c r="I47" s="75">
        <f>H47/8</f>
        <v>0</v>
      </c>
      <c r="J47" s="218">
        <f>I47+G47+E47+E48+G48</f>
        <v>26</v>
      </c>
      <c r="K47" s="215"/>
      <c r="L47" s="201"/>
      <c r="M47" s="146"/>
      <c r="N47" s="143">
        <v>3.5</v>
      </c>
      <c r="O47" s="73">
        <f t="shared" si="19"/>
        <v>0.41176470588235292</v>
      </c>
      <c r="P47" s="218">
        <f>O47+M47+K47+K48+M48</f>
        <v>0.41176470588235292</v>
      </c>
      <c r="Q47" s="127"/>
      <c r="R47" s="125"/>
      <c r="S47" s="125"/>
      <c r="T47" s="125"/>
      <c r="U47" s="75">
        <f>T47/8</f>
        <v>0</v>
      </c>
      <c r="V47" s="218">
        <f>U47+S47+Q47+Q48+S48</f>
        <v>0</v>
      </c>
      <c r="W47" s="218">
        <f>V47+P47+J47</f>
        <v>26.411764705882351</v>
      </c>
      <c r="X47" s="218">
        <f t="shared" ref="X47" si="22">W47-D47</f>
        <v>1.4117647058823515</v>
      </c>
      <c r="AA47" s="211"/>
    </row>
    <row r="48" spans="2:27">
      <c r="B48" s="183">
        <f t="shared" si="18"/>
        <v>40</v>
      </c>
      <c r="C48" s="70" t="s">
        <v>513</v>
      </c>
      <c r="D48" s="223"/>
      <c r="E48" s="164">
        <v>13</v>
      </c>
      <c r="F48" s="167"/>
      <c r="G48" s="183"/>
      <c r="H48" s="183"/>
      <c r="I48" s="75"/>
      <c r="J48" s="220"/>
      <c r="K48" s="184"/>
      <c r="L48" s="201"/>
      <c r="M48" s="184"/>
      <c r="N48" s="183"/>
      <c r="O48" s="73"/>
      <c r="P48" s="220"/>
      <c r="Q48" s="184"/>
      <c r="R48" s="183"/>
      <c r="S48" s="183"/>
      <c r="T48" s="183"/>
      <c r="U48" s="75"/>
      <c r="V48" s="220"/>
      <c r="W48" s="224"/>
      <c r="X48" s="220"/>
      <c r="AA48" s="211"/>
    </row>
    <row r="49" spans="2:24">
      <c r="B49" s="183">
        <f t="shared" si="18"/>
        <v>41</v>
      </c>
      <c r="C49" s="70" t="s">
        <v>29</v>
      </c>
      <c r="D49" s="125">
        <v>2</v>
      </c>
      <c r="E49" s="164">
        <v>2</v>
      </c>
      <c r="F49" s="74"/>
      <c r="G49" s="125"/>
      <c r="H49" s="125"/>
      <c r="I49" s="125"/>
      <c r="J49" s="72">
        <f t="shared" si="20"/>
        <v>2</v>
      </c>
      <c r="K49" s="184"/>
      <c r="L49" s="201"/>
      <c r="M49" s="143"/>
      <c r="N49" s="143"/>
      <c r="O49" s="73">
        <f>N49/8</f>
        <v>0</v>
      </c>
      <c r="P49" s="85">
        <f t="shared" si="21"/>
        <v>0</v>
      </c>
      <c r="Q49" s="127"/>
      <c r="R49" s="125"/>
      <c r="S49" s="125"/>
      <c r="T49" s="125"/>
      <c r="U49" s="125"/>
      <c r="V49" s="72">
        <f t="shared" si="4"/>
        <v>0</v>
      </c>
      <c r="W49" s="72">
        <f t="shared" si="5"/>
        <v>2</v>
      </c>
      <c r="X49" s="72">
        <f t="shared" si="6"/>
        <v>0</v>
      </c>
    </row>
    <row r="50" spans="2:24">
      <c r="B50" s="173">
        <f t="shared" si="18"/>
        <v>42</v>
      </c>
      <c r="C50" s="70" t="s">
        <v>68</v>
      </c>
      <c r="D50" s="125">
        <v>10</v>
      </c>
      <c r="E50" s="164">
        <v>5</v>
      </c>
      <c r="F50" s="74"/>
      <c r="G50" s="125"/>
      <c r="H50" s="125"/>
      <c r="I50" s="75">
        <f>H50/8</f>
        <v>0</v>
      </c>
      <c r="J50" s="72">
        <f t="shared" si="20"/>
        <v>5</v>
      </c>
      <c r="K50" s="131"/>
      <c r="L50" s="201"/>
      <c r="M50" s="143"/>
      <c r="N50" s="206">
        <v>8</v>
      </c>
      <c r="O50" s="73">
        <f>N50/8.5</f>
        <v>0.94117647058823528</v>
      </c>
      <c r="P50" s="85">
        <f t="shared" si="21"/>
        <v>0.94117647058823528</v>
      </c>
      <c r="Q50" s="131">
        <v>1</v>
      </c>
      <c r="R50" s="125"/>
      <c r="S50" s="125"/>
      <c r="T50" s="125"/>
      <c r="U50" s="75">
        <f>T50/8</f>
        <v>0</v>
      </c>
      <c r="V50" s="72">
        <f t="shared" si="4"/>
        <v>1</v>
      </c>
      <c r="W50" s="72">
        <f t="shared" si="5"/>
        <v>6.9411764705882355</v>
      </c>
      <c r="X50" s="72">
        <f t="shared" si="6"/>
        <v>-3.0588235294117645</v>
      </c>
    </row>
    <row r="51" spans="2:24">
      <c r="B51" s="173">
        <f t="shared" si="18"/>
        <v>43</v>
      </c>
      <c r="C51" s="93" t="s">
        <v>69</v>
      </c>
      <c r="D51" s="126">
        <v>3</v>
      </c>
      <c r="E51" s="164">
        <v>3</v>
      </c>
      <c r="F51" s="74"/>
      <c r="G51" s="125"/>
      <c r="H51" s="125"/>
      <c r="I51" s="75">
        <f>H51/8</f>
        <v>0</v>
      </c>
      <c r="J51" s="72">
        <f t="shared" si="20"/>
        <v>3</v>
      </c>
      <c r="K51" s="201"/>
      <c r="L51" s="201"/>
      <c r="M51" s="143"/>
      <c r="N51" s="143"/>
      <c r="O51" s="73">
        <f>N51/8.5</f>
        <v>0</v>
      </c>
      <c r="P51" s="85">
        <f t="shared" si="21"/>
        <v>0</v>
      </c>
      <c r="Q51" s="188"/>
      <c r="R51" s="125"/>
      <c r="S51" s="125"/>
      <c r="T51" s="125"/>
      <c r="U51" s="75">
        <f>T51/8</f>
        <v>0</v>
      </c>
      <c r="V51" s="72">
        <f t="shared" si="4"/>
        <v>0</v>
      </c>
      <c r="W51" s="72">
        <f t="shared" si="5"/>
        <v>3</v>
      </c>
      <c r="X51" s="72">
        <f t="shared" si="6"/>
        <v>0</v>
      </c>
    </row>
    <row r="52" spans="2:24">
      <c r="B52" s="173">
        <f t="shared" si="18"/>
        <v>44</v>
      </c>
      <c r="C52" s="70" t="s">
        <v>30</v>
      </c>
      <c r="D52" s="125">
        <v>7</v>
      </c>
      <c r="E52" s="158">
        <v>5</v>
      </c>
      <c r="F52" s="168"/>
      <c r="G52" s="126"/>
      <c r="H52" s="125"/>
      <c r="I52" s="73"/>
      <c r="J52" s="72">
        <f t="shared" si="20"/>
        <v>5</v>
      </c>
      <c r="K52" s="131">
        <v>1</v>
      </c>
      <c r="L52" s="184"/>
      <c r="M52" s="146"/>
      <c r="N52" s="78">
        <v>3.5</v>
      </c>
      <c r="O52" s="73">
        <f>N52/8.5</f>
        <v>0.41176470588235292</v>
      </c>
      <c r="P52" s="85">
        <f t="shared" si="21"/>
        <v>1.4117647058823528</v>
      </c>
      <c r="Q52" s="131">
        <v>1</v>
      </c>
      <c r="R52" s="127"/>
      <c r="S52" s="127"/>
      <c r="T52" s="199">
        <v>2</v>
      </c>
      <c r="U52" s="75">
        <f>T52/8</f>
        <v>0.25</v>
      </c>
      <c r="V52" s="72">
        <f t="shared" si="4"/>
        <v>1.25</v>
      </c>
      <c r="W52" s="72">
        <f t="shared" si="5"/>
        <v>7.6617647058823533</v>
      </c>
      <c r="X52" s="72">
        <f t="shared" si="6"/>
        <v>0.66176470588235325</v>
      </c>
    </row>
    <row r="53" spans="2:24">
      <c r="B53" s="173">
        <f t="shared" si="18"/>
        <v>45</v>
      </c>
      <c r="C53" s="70" t="s">
        <v>31</v>
      </c>
      <c r="D53" s="125">
        <v>15</v>
      </c>
      <c r="E53" s="207">
        <v>6</v>
      </c>
      <c r="F53" s="74"/>
      <c r="G53" s="127"/>
      <c r="H53" s="125"/>
      <c r="I53" s="75">
        <f>H53/8</f>
        <v>0</v>
      </c>
      <c r="J53" s="72">
        <f t="shared" si="20"/>
        <v>6</v>
      </c>
      <c r="K53" s="201">
        <v>1</v>
      </c>
      <c r="L53" s="184"/>
      <c r="M53" s="143"/>
      <c r="N53" s="143"/>
      <c r="O53" s="73"/>
      <c r="P53" s="85">
        <f t="shared" si="21"/>
        <v>1</v>
      </c>
      <c r="Q53" s="125"/>
      <c r="R53" s="127"/>
      <c r="S53" s="127"/>
      <c r="T53" s="125"/>
      <c r="U53" s="125"/>
      <c r="V53" s="72">
        <f>U53+S53+Q53</f>
        <v>0</v>
      </c>
      <c r="W53" s="72">
        <f>V53+P53+J53</f>
        <v>7</v>
      </c>
      <c r="X53" s="72">
        <f>W53-D53</f>
        <v>-8</v>
      </c>
    </row>
    <row r="54" spans="2:24">
      <c r="B54" s="173">
        <f t="shared" si="18"/>
        <v>46</v>
      </c>
      <c r="C54" s="70" t="s">
        <v>81</v>
      </c>
      <c r="D54" s="127"/>
      <c r="E54" s="130"/>
      <c r="F54" s="125"/>
      <c r="G54" s="125"/>
      <c r="H54" s="127"/>
      <c r="I54" s="127"/>
      <c r="J54" s="72">
        <f t="shared" si="20"/>
        <v>0</v>
      </c>
      <c r="K54" s="130"/>
      <c r="L54" s="143"/>
      <c r="M54" s="146"/>
      <c r="N54" s="146"/>
      <c r="O54" s="127"/>
      <c r="P54" s="85">
        <f t="shared" si="21"/>
        <v>0</v>
      </c>
      <c r="Q54" s="125"/>
      <c r="R54" s="125"/>
      <c r="S54" s="127"/>
      <c r="T54" s="127"/>
      <c r="U54" s="127"/>
      <c r="V54" s="125">
        <f>U54+S54+Q54</f>
        <v>0</v>
      </c>
      <c r="W54" s="125">
        <f>V54+P54+J54</f>
        <v>0</v>
      </c>
      <c r="X54" s="127"/>
    </row>
    <row r="55" spans="2:24" ht="15.75" thickBot="1">
      <c r="B55" s="37"/>
      <c r="C55" s="37" t="s">
        <v>2</v>
      </c>
      <c r="D55" s="94">
        <f>SUM(D6:D54)</f>
        <v>307</v>
      </c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4">
        <f>SUM(W6:W54)</f>
        <v>293.39705882352945</v>
      </c>
      <c r="X55" s="49">
        <f>SUM(X6:X54)</f>
        <v>-13.602941176470592</v>
      </c>
    </row>
    <row r="56" spans="2:24" ht="12.75" customHeight="1">
      <c r="E56" s="38"/>
      <c r="K56" s="38"/>
      <c r="Q56" s="38"/>
      <c r="W56" s="79"/>
    </row>
    <row r="57" spans="2:24" ht="12.75" customHeight="1"/>
    <row r="58" spans="2:24" ht="12.75" customHeight="1">
      <c r="C58" s="41"/>
      <c r="D58" s="41"/>
      <c r="E58" s="41"/>
      <c r="F58" s="96"/>
      <c r="G58" s="41"/>
      <c r="H58" s="41"/>
      <c r="I58" s="41"/>
      <c r="J58" s="41"/>
      <c r="K58" s="41"/>
      <c r="L58" s="41"/>
      <c r="M58" s="41"/>
      <c r="N58" s="41"/>
      <c r="O58" s="41"/>
      <c r="P58" s="41"/>
    </row>
    <row r="59" spans="2:24" ht="20.25" customHeight="1">
      <c r="C59" s="123" t="s">
        <v>496</v>
      </c>
      <c r="D59" s="34"/>
      <c r="E59" s="34"/>
      <c r="F59" s="34"/>
      <c r="G59" s="34"/>
      <c r="H59" s="35"/>
      <c r="I59" s="35"/>
      <c r="J59" s="231" t="s">
        <v>519</v>
      </c>
      <c r="K59" s="231"/>
      <c r="L59" s="231"/>
      <c r="M59" s="231"/>
      <c r="N59" s="231"/>
      <c r="O59" s="231"/>
      <c r="P59" s="231"/>
      <c r="Q59" s="97"/>
    </row>
    <row r="60" spans="2:24" ht="15" customHeight="1">
      <c r="B60" s="63"/>
      <c r="C60" s="69"/>
      <c r="D60" s="36" t="s">
        <v>54</v>
      </c>
      <c r="E60" s="232"/>
      <c r="F60" s="232"/>
      <c r="G60" s="232"/>
      <c r="H60" s="232"/>
      <c r="I60" s="232"/>
      <c r="J60" s="232"/>
      <c r="K60" s="232" t="s">
        <v>16</v>
      </c>
      <c r="L60" s="232"/>
      <c r="M60" s="232"/>
      <c r="N60" s="232"/>
      <c r="O60" s="232"/>
      <c r="P60" s="232"/>
      <c r="Q60" s="232" t="s">
        <v>17</v>
      </c>
      <c r="R60" s="232"/>
      <c r="S60" s="232"/>
      <c r="T60" s="232"/>
      <c r="U60" s="232"/>
      <c r="V60" s="232"/>
      <c r="W60" s="36" t="s">
        <v>32</v>
      </c>
      <c r="X60" s="36" t="s">
        <v>32</v>
      </c>
    </row>
    <row r="61" spans="2:24" ht="21.75" customHeight="1">
      <c r="B61" s="98" t="s">
        <v>7</v>
      </c>
      <c r="C61" s="98" t="s">
        <v>0</v>
      </c>
      <c r="D61" s="69" t="s">
        <v>40</v>
      </c>
      <c r="E61" s="99">
        <v>1</v>
      </c>
      <c r="F61" s="69" t="s">
        <v>1</v>
      </c>
      <c r="G61" s="100" t="s">
        <v>46</v>
      </c>
      <c r="H61" s="69" t="s">
        <v>51</v>
      </c>
      <c r="I61" s="69" t="s">
        <v>52</v>
      </c>
      <c r="J61" s="69" t="s">
        <v>2</v>
      </c>
      <c r="K61" s="99">
        <v>1</v>
      </c>
      <c r="L61" s="145" t="s">
        <v>1</v>
      </c>
      <c r="M61" s="100" t="s">
        <v>46</v>
      </c>
      <c r="N61" s="145" t="s">
        <v>51</v>
      </c>
      <c r="O61" s="69" t="s">
        <v>52</v>
      </c>
      <c r="P61" s="100" t="s">
        <v>2</v>
      </c>
      <c r="Q61" s="99">
        <v>1</v>
      </c>
      <c r="R61" s="69" t="s">
        <v>1</v>
      </c>
      <c r="S61" s="100" t="s">
        <v>46</v>
      </c>
      <c r="T61" s="69" t="s">
        <v>51</v>
      </c>
      <c r="U61" s="69" t="s">
        <v>52</v>
      </c>
      <c r="V61" s="69" t="s">
        <v>2</v>
      </c>
      <c r="W61" s="100" t="s">
        <v>43</v>
      </c>
      <c r="X61" s="101" t="s">
        <v>60</v>
      </c>
    </row>
    <row r="62" spans="2:24" ht="17.25" customHeight="1">
      <c r="B62" s="228" t="s">
        <v>37</v>
      </c>
      <c r="C62" s="228"/>
      <c r="D62" s="65"/>
      <c r="E62" s="99"/>
      <c r="F62" s="69"/>
      <c r="G62" s="100" t="s">
        <v>1</v>
      </c>
      <c r="H62" s="69" t="s">
        <v>52</v>
      </c>
      <c r="I62" s="69" t="s">
        <v>53</v>
      </c>
      <c r="J62" s="69"/>
      <c r="K62" s="99"/>
      <c r="L62" s="145"/>
      <c r="M62" s="100" t="s">
        <v>1</v>
      </c>
      <c r="N62" s="145" t="s">
        <v>52</v>
      </c>
      <c r="O62" s="69" t="s">
        <v>53</v>
      </c>
      <c r="P62" s="102"/>
      <c r="Q62" s="99"/>
      <c r="R62" s="69"/>
      <c r="S62" s="100" t="s">
        <v>1</v>
      </c>
      <c r="T62" s="69" t="s">
        <v>52</v>
      </c>
      <c r="U62" s="69" t="s">
        <v>53</v>
      </c>
      <c r="V62" s="69"/>
      <c r="W62" s="64" t="s">
        <v>2</v>
      </c>
      <c r="X62" s="63" t="s">
        <v>61</v>
      </c>
    </row>
    <row r="63" spans="2:24">
      <c r="B63" s="36">
        <f>B54+1</f>
        <v>47</v>
      </c>
      <c r="C63" s="93" t="s">
        <v>28</v>
      </c>
      <c r="D63" s="69">
        <v>5</v>
      </c>
      <c r="E63" s="72">
        <v>3</v>
      </c>
      <c r="F63" s="72"/>
      <c r="G63" s="36"/>
      <c r="H63" s="36"/>
      <c r="I63" s="36"/>
      <c r="J63" s="72">
        <f t="shared" ref="J63:J70" si="23">I63+G63+E63</f>
        <v>3</v>
      </c>
      <c r="K63" s="143">
        <v>1</v>
      </c>
      <c r="L63" s="143"/>
      <c r="M63" s="143"/>
      <c r="N63" s="143"/>
      <c r="O63" s="36"/>
      <c r="P63" s="72">
        <f t="shared" ref="P63:P70" si="24">O63+M63+K63</f>
        <v>1</v>
      </c>
      <c r="Q63" s="36">
        <v>1</v>
      </c>
      <c r="R63" s="36"/>
      <c r="S63" s="36"/>
      <c r="T63" s="36"/>
      <c r="U63" s="121"/>
      <c r="V63" s="72">
        <f t="shared" ref="V63:V70" si="25">U63+S63+Q63</f>
        <v>1</v>
      </c>
      <c r="W63" s="72">
        <f>SUM(J63+P63+V63)</f>
        <v>5</v>
      </c>
      <c r="X63" s="72">
        <f>W63-D63</f>
        <v>0</v>
      </c>
    </row>
    <row r="64" spans="2:24">
      <c r="B64" s="176">
        <f>B63+1</f>
        <v>48</v>
      </c>
      <c r="C64" s="93" t="s">
        <v>508</v>
      </c>
      <c r="D64" s="177">
        <v>8</v>
      </c>
      <c r="E64" s="72">
        <v>5</v>
      </c>
      <c r="F64" s="72"/>
      <c r="G64" s="176"/>
      <c r="H64" s="176">
        <v>2</v>
      </c>
      <c r="I64" s="73">
        <f>H64/8.5</f>
        <v>0.23529411764705882</v>
      </c>
      <c r="J64" s="72">
        <f t="shared" si="23"/>
        <v>5.2352941176470589</v>
      </c>
      <c r="K64" s="176"/>
      <c r="L64" s="176"/>
      <c r="M64" s="176"/>
      <c r="N64" s="176"/>
      <c r="O64" s="176"/>
      <c r="P64" s="72">
        <f t="shared" si="24"/>
        <v>0</v>
      </c>
      <c r="Q64" s="176">
        <v>4</v>
      </c>
      <c r="R64" s="176"/>
      <c r="S64" s="176"/>
      <c r="T64" s="176">
        <v>12</v>
      </c>
      <c r="U64" s="75">
        <f>T64/8</f>
        <v>1.5</v>
      </c>
      <c r="V64" s="72">
        <f t="shared" si="25"/>
        <v>5.5</v>
      </c>
      <c r="W64" s="72">
        <f t="shared" ref="W64:W66" si="26">SUM(J64+P64+V64)</f>
        <v>10.735294117647058</v>
      </c>
      <c r="X64" s="72">
        <f t="shared" ref="X64:X66" si="27">W64-D64</f>
        <v>2.735294117647058</v>
      </c>
    </row>
    <row r="65" spans="2:24">
      <c r="B65" s="176">
        <f>B64+1</f>
        <v>49</v>
      </c>
      <c r="C65" s="93" t="s">
        <v>510</v>
      </c>
      <c r="D65" s="177">
        <v>5</v>
      </c>
      <c r="E65" s="72">
        <v>2</v>
      </c>
      <c r="F65" s="72"/>
      <c r="G65" s="176"/>
      <c r="H65" s="176">
        <v>1</v>
      </c>
      <c r="I65" s="73">
        <f>H65/8.5</f>
        <v>0.11764705882352941</v>
      </c>
      <c r="J65" s="72">
        <f>I65+G65+E65</f>
        <v>2.1176470588235294</v>
      </c>
      <c r="K65" s="176">
        <v>2</v>
      </c>
      <c r="L65" s="176"/>
      <c r="M65" s="176"/>
      <c r="N65" s="176">
        <v>2</v>
      </c>
      <c r="O65" s="73">
        <f>N65/8.5</f>
        <v>0.23529411764705882</v>
      </c>
      <c r="P65" s="72">
        <f t="shared" si="24"/>
        <v>2.2352941176470589</v>
      </c>
      <c r="Q65" s="176">
        <v>1</v>
      </c>
      <c r="R65" s="176"/>
      <c r="S65" s="176"/>
      <c r="T65" s="176"/>
      <c r="U65" s="75">
        <f>T65/8</f>
        <v>0</v>
      </c>
      <c r="V65" s="72">
        <f t="shared" si="25"/>
        <v>1</v>
      </c>
      <c r="W65" s="72">
        <f t="shared" si="26"/>
        <v>5.3529411764705888</v>
      </c>
      <c r="X65" s="72">
        <f t="shared" si="27"/>
        <v>0.35294117647058876</v>
      </c>
    </row>
    <row r="66" spans="2:24">
      <c r="B66" s="176">
        <f>B65+1</f>
        <v>50</v>
      </c>
      <c r="C66" s="93" t="s">
        <v>509</v>
      </c>
      <c r="D66" s="177">
        <v>6</v>
      </c>
      <c r="E66" s="72">
        <v>3</v>
      </c>
      <c r="F66" s="72"/>
      <c r="G66" s="176"/>
      <c r="H66" s="176"/>
      <c r="I66" s="73">
        <f>H66/8.5</f>
        <v>0</v>
      </c>
      <c r="J66" s="72">
        <f t="shared" si="23"/>
        <v>3</v>
      </c>
      <c r="K66" s="176"/>
      <c r="L66" s="176"/>
      <c r="M66" s="176"/>
      <c r="N66" s="176"/>
      <c r="O66" s="176"/>
      <c r="P66" s="72">
        <f t="shared" si="24"/>
        <v>0</v>
      </c>
      <c r="Q66" s="176">
        <v>3</v>
      </c>
      <c r="R66" s="176"/>
      <c r="S66" s="176"/>
      <c r="T66" s="176"/>
      <c r="U66" s="176"/>
      <c r="V66" s="72">
        <f t="shared" si="25"/>
        <v>3</v>
      </c>
      <c r="W66" s="72">
        <f t="shared" si="26"/>
        <v>6</v>
      </c>
      <c r="X66" s="72">
        <f t="shared" si="27"/>
        <v>0</v>
      </c>
    </row>
    <row r="67" spans="2:24">
      <c r="B67" s="36">
        <f>B66+1</f>
        <v>51</v>
      </c>
      <c r="C67" s="93" t="s">
        <v>36</v>
      </c>
      <c r="D67" s="69">
        <v>2</v>
      </c>
      <c r="E67" s="71">
        <v>2</v>
      </c>
      <c r="F67" s="72"/>
      <c r="G67" s="36"/>
      <c r="H67" s="36"/>
      <c r="I67" s="36"/>
      <c r="J67" s="72">
        <f t="shared" si="23"/>
        <v>2</v>
      </c>
      <c r="K67" s="143"/>
      <c r="L67" s="143"/>
      <c r="M67" s="143"/>
      <c r="N67" s="143"/>
      <c r="O67" s="36"/>
      <c r="P67" s="72">
        <f t="shared" si="24"/>
        <v>0</v>
      </c>
      <c r="Q67" s="36"/>
      <c r="R67" s="36"/>
      <c r="S67" s="36"/>
      <c r="T67" s="36"/>
      <c r="U67" s="36"/>
      <c r="V67" s="72">
        <f t="shared" si="25"/>
        <v>0</v>
      </c>
      <c r="W67" s="72">
        <f t="shared" ref="W67:W70" si="28">SUM(J67+P67+V67)</f>
        <v>2</v>
      </c>
      <c r="X67" s="72">
        <f t="shared" ref="X67:X70" si="29">W67-D67</f>
        <v>0</v>
      </c>
    </row>
    <row r="68" spans="2:24">
      <c r="B68" s="36">
        <f t="shared" ref="B68:B69" si="30">B67+1</f>
        <v>52</v>
      </c>
      <c r="C68" s="93" t="s">
        <v>41</v>
      </c>
      <c r="D68" s="69">
        <v>5</v>
      </c>
      <c r="E68" s="71">
        <v>4</v>
      </c>
      <c r="F68" s="72"/>
      <c r="G68" s="36"/>
      <c r="H68" s="36"/>
      <c r="I68" s="36"/>
      <c r="J68" s="72">
        <f t="shared" si="23"/>
        <v>4</v>
      </c>
      <c r="K68" s="143"/>
      <c r="L68" s="143"/>
      <c r="M68" s="143"/>
      <c r="N68" s="143"/>
      <c r="O68" s="36"/>
      <c r="P68" s="72">
        <f t="shared" si="24"/>
        <v>0</v>
      </c>
      <c r="Q68" s="63"/>
      <c r="R68" s="36"/>
      <c r="S68" s="36"/>
      <c r="T68" s="36"/>
      <c r="U68" s="36"/>
      <c r="V68" s="72">
        <f t="shared" si="25"/>
        <v>0</v>
      </c>
      <c r="W68" s="72">
        <f t="shared" si="28"/>
        <v>4</v>
      </c>
      <c r="X68" s="72">
        <f t="shared" si="29"/>
        <v>-1</v>
      </c>
    </row>
    <row r="69" spans="2:24">
      <c r="B69" s="36">
        <f t="shared" si="30"/>
        <v>53</v>
      </c>
      <c r="C69" s="103" t="s">
        <v>42</v>
      </c>
      <c r="D69" s="36">
        <v>2</v>
      </c>
      <c r="E69" s="71">
        <v>3</v>
      </c>
      <c r="F69" s="92"/>
      <c r="G69" s="63"/>
      <c r="H69" s="63"/>
      <c r="I69" s="63"/>
      <c r="J69" s="72">
        <f t="shared" si="23"/>
        <v>3</v>
      </c>
      <c r="K69" s="143">
        <v>1</v>
      </c>
      <c r="L69" s="146"/>
      <c r="M69" s="146"/>
      <c r="N69" s="146"/>
      <c r="O69" s="63"/>
      <c r="P69" s="72">
        <f t="shared" si="24"/>
        <v>1</v>
      </c>
      <c r="Q69" s="63"/>
      <c r="R69" s="63"/>
      <c r="S69" s="63"/>
      <c r="T69" s="63"/>
      <c r="U69" s="63"/>
      <c r="V69" s="72">
        <f t="shared" si="25"/>
        <v>0</v>
      </c>
      <c r="W69" s="72">
        <f t="shared" si="28"/>
        <v>4</v>
      </c>
      <c r="X69" s="72">
        <f t="shared" si="29"/>
        <v>2</v>
      </c>
    </row>
    <row r="70" spans="2:24">
      <c r="B70" s="191">
        <f>B69+1</f>
        <v>54</v>
      </c>
      <c r="C70" s="103" t="s">
        <v>66</v>
      </c>
      <c r="D70" s="36">
        <v>1</v>
      </c>
      <c r="E70" s="71">
        <v>0</v>
      </c>
      <c r="F70" s="92"/>
      <c r="G70" s="63"/>
      <c r="H70" s="63"/>
      <c r="I70" s="63"/>
      <c r="J70" s="72">
        <f t="shared" si="23"/>
        <v>0</v>
      </c>
      <c r="K70" s="146"/>
      <c r="L70" s="146"/>
      <c r="M70" s="146"/>
      <c r="N70" s="146"/>
      <c r="O70" s="63"/>
      <c r="P70" s="72">
        <f t="shared" si="24"/>
        <v>0</v>
      </c>
      <c r="Q70" s="63"/>
      <c r="R70" s="63"/>
      <c r="S70" s="63"/>
      <c r="T70" s="63"/>
      <c r="U70" s="63"/>
      <c r="V70" s="72">
        <f t="shared" si="25"/>
        <v>0</v>
      </c>
      <c r="W70" s="72">
        <f t="shared" si="28"/>
        <v>0</v>
      </c>
      <c r="X70" s="72">
        <f t="shared" si="29"/>
        <v>-1</v>
      </c>
    </row>
    <row r="71" spans="2:24" ht="17.25" customHeight="1">
      <c r="B71" s="37"/>
      <c r="C71" s="104" t="s">
        <v>2</v>
      </c>
      <c r="D71" s="105">
        <f>SUM(D6:D54)+SUM(D63:D70)</f>
        <v>341</v>
      </c>
      <c r="E71" s="105">
        <f>SUM(E6:E19)+SUM(E63:E70)+SUM(E21:E42)+SUM(E44:E54)+F73+F75</f>
        <v>165</v>
      </c>
      <c r="F71" s="105">
        <f>SUM(F6:F19)+SUM(F63:F70)+SUM(F21:F54)</f>
        <v>38</v>
      </c>
      <c r="G71" s="105">
        <f>SUM(G6:G54)+SUM(G63:G70)</f>
        <v>18</v>
      </c>
      <c r="H71" s="105">
        <f>SUM(H6:H54)+SUM(H63:H70)</f>
        <v>5.5</v>
      </c>
      <c r="I71" s="105">
        <f>SUM(I6:I54)+SUM(I63:I70)</f>
        <v>0.64705882352941169</v>
      </c>
      <c r="J71" s="105">
        <f>SUM(J6:J54)+SUM(J63:J70)</f>
        <v>183.64705882352942</v>
      </c>
      <c r="K71" s="105">
        <f>SUM(K6:K20)+SUM(K63:K70)+SUM(K21:K42)+SUM(K44:K54)+L73</f>
        <v>40</v>
      </c>
      <c r="L71" s="105">
        <f>SUM(L6:L19)+SUM(L63:L70)+SUM(L21:L54)</f>
        <v>30</v>
      </c>
      <c r="M71" s="105">
        <f>SUM(M6:M54)+SUM(M63:M70)</f>
        <v>21</v>
      </c>
      <c r="N71" s="105">
        <f>SUM(N6:N20)+SUM(N21:N54)+SUM(N63:N70)</f>
        <v>107</v>
      </c>
      <c r="O71" s="105">
        <f>SUM(O6:O54)+SUM(O63:O70)</f>
        <v>12.588235294117647</v>
      </c>
      <c r="P71" s="105">
        <f>SUM(P6:P54)+SUM(P63:P70)</f>
        <v>73.588235294117624</v>
      </c>
      <c r="Q71" s="105">
        <f>SUM(Q6:Q20)+SUM(Q63:Q70)+SUM(Q21:Q42)+SUM(Q44:Q54)+R73</f>
        <v>56</v>
      </c>
      <c r="R71" s="105">
        <f t="shared" ref="R71:X71" si="31">SUM(R6:R54)+SUM(R63:R70)</f>
        <v>22</v>
      </c>
      <c r="S71" s="105">
        <f t="shared" si="31"/>
        <v>11</v>
      </c>
      <c r="T71" s="105">
        <f t="shared" si="31"/>
        <v>50</v>
      </c>
      <c r="U71" s="105">
        <f t="shared" si="31"/>
        <v>6.25</v>
      </c>
      <c r="V71" s="105">
        <f t="shared" si="31"/>
        <v>73.25</v>
      </c>
      <c r="W71" s="105">
        <f t="shared" si="31"/>
        <v>330.48529411764707</v>
      </c>
      <c r="X71" s="114">
        <f t="shared" si="31"/>
        <v>-10.514705882352946</v>
      </c>
    </row>
    <row r="72" spans="2:24" ht="17.25" customHeight="1">
      <c r="B72" s="37"/>
      <c r="C72" s="104"/>
      <c r="D72" s="105"/>
      <c r="E72" s="95">
        <f>SUM(E6:E20)+SUM(E63:E70)+SUM(E21:E42)+SUM(E44:E54)+F73+F75</f>
        <v>165</v>
      </c>
      <c r="F72" s="95">
        <f>SUM(F6:F19)+SUM(F63:F70)+SUM(F21:F42)+SUM(F44:F54)+G73</f>
        <v>38</v>
      </c>
      <c r="G72" s="105"/>
      <c r="H72" s="105"/>
      <c r="I72" s="95">
        <f>SUM(I6:I20)+SUM(I63:I70)+SUM(I21:I42)+SUM(I44:I54)+J73</f>
        <v>0.64705882352941169</v>
      </c>
      <c r="J72" s="105">
        <f>E72+F72+I72</f>
        <v>203.64705882352942</v>
      </c>
      <c r="K72" s="95">
        <f>SUM(K6:K20)+SUM(K63:K70)+SUM(K21:K42)+SUM(K44:K54)+L73+L75</f>
        <v>40</v>
      </c>
      <c r="L72" s="95">
        <f>SUM(L6:L19)+SUM(L63:L70)+SUM(L21:L42)+SUM(L44:L54)+M73</f>
        <v>30</v>
      </c>
      <c r="M72" s="105"/>
      <c r="N72" s="105"/>
      <c r="O72" s="95">
        <f>SUM(O6:O20)+SUM(O63:O70)+SUM(O21:O42)+SUM(O44:O54)+P73</f>
        <v>12.588235294117647</v>
      </c>
      <c r="P72" s="105">
        <f>K72+L72+O72</f>
        <v>82.588235294117652</v>
      </c>
      <c r="Q72" s="95">
        <f>SUM(Q6:Q20)+SUM(Q63:Q70)+SUM(Q21:Q42)+SUM(Q44:Q54)+R73+R75</f>
        <v>56</v>
      </c>
      <c r="R72" s="95">
        <f>SUM(R6:R20)+SUM(R63:R70)+SUM(R21:R42)+SUM(R44:R54)+S73</f>
        <v>22</v>
      </c>
      <c r="S72" s="105"/>
      <c r="T72" s="105"/>
      <c r="U72" s="95">
        <f>SUM(U6:U20)+SUM(U63:U70)+SUM(U21:U42)+SUM(U44:U54)+V73</f>
        <v>6.25</v>
      </c>
      <c r="V72" s="105">
        <f>Q72+R72+U72</f>
        <v>84.25</v>
      </c>
      <c r="W72" s="105"/>
      <c r="X72" s="114">
        <f>J72+P72+V72</f>
        <v>370.48529411764707</v>
      </c>
    </row>
    <row r="73" spans="2:24" ht="15" customHeight="1">
      <c r="B73" s="79"/>
      <c r="C73" s="221"/>
      <c r="D73" s="221"/>
      <c r="E73" s="221"/>
      <c r="F73" s="106"/>
      <c r="I73" s="221"/>
      <c r="J73" s="221"/>
      <c r="K73" s="221"/>
      <c r="L73" s="147"/>
      <c r="O73" s="221"/>
      <c r="P73" s="221"/>
      <c r="Q73" s="221"/>
      <c r="R73" s="106"/>
      <c r="V73" s="37"/>
    </row>
    <row r="74" spans="2:24" ht="15" customHeight="1">
      <c r="B74" s="79"/>
      <c r="C74" s="221" t="s">
        <v>512</v>
      </c>
      <c r="D74" s="221"/>
      <c r="E74" s="221"/>
      <c r="F74" s="182">
        <f>F20</f>
        <v>1</v>
      </c>
      <c r="I74" s="221" t="s">
        <v>512</v>
      </c>
      <c r="J74" s="221"/>
      <c r="K74" s="221"/>
      <c r="L74" s="182">
        <f>L20</f>
        <v>0</v>
      </c>
      <c r="O74" s="221" t="s">
        <v>512</v>
      </c>
      <c r="P74" s="221"/>
      <c r="Q74" s="221"/>
      <c r="R74" s="182">
        <f>R20</f>
        <v>0</v>
      </c>
      <c r="V74" s="37"/>
    </row>
    <row r="75" spans="2:24" ht="15" customHeight="1">
      <c r="B75" s="79"/>
      <c r="C75" s="221" t="s">
        <v>506</v>
      </c>
      <c r="D75" s="221"/>
      <c r="E75" s="221"/>
      <c r="F75" s="175">
        <f>E43</f>
        <v>7</v>
      </c>
      <c r="I75" s="233" t="s">
        <v>506</v>
      </c>
      <c r="J75" s="233"/>
      <c r="K75" s="233"/>
      <c r="L75" s="175">
        <f>K43</f>
        <v>0</v>
      </c>
      <c r="O75" s="233" t="s">
        <v>506</v>
      </c>
      <c r="P75" s="233"/>
      <c r="Q75" s="233"/>
      <c r="R75" s="175">
        <f>Q43</f>
        <v>0</v>
      </c>
      <c r="V75" s="37"/>
    </row>
    <row r="76" spans="2:24" ht="15" customHeight="1">
      <c r="B76" s="79"/>
      <c r="C76" s="221" t="s">
        <v>514</v>
      </c>
      <c r="D76" s="221"/>
      <c r="E76" s="221"/>
      <c r="F76" s="185">
        <f>E48</f>
        <v>13</v>
      </c>
      <c r="I76" s="221" t="s">
        <v>514</v>
      </c>
      <c r="J76" s="221"/>
      <c r="K76" s="221"/>
      <c r="L76" s="185">
        <f>K48</f>
        <v>0</v>
      </c>
      <c r="O76" s="221" t="s">
        <v>514</v>
      </c>
      <c r="P76" s="221"/>
      <c r="Q76" s="221"/>
      <c r="R76" s="185">
        <f>Q48</f>
        <v>0</v>
      </c>
      <c r="V76" s="37"/>
    </row>
    <row r="77" spans="2:24">
      <c r="C77" s="221" t="s">
        <v>70</v>
      </c>
      <c r="D77" s="221"/>
      <c r="E77" s="221"/>
      <c r="F77" s="106">
        <f>SUM(F14+F27+F35+F54)</f>
        <v>1</v>
      </c>
      <c r="I77" s="221" t="s">
        <v>70</v>
      </c>
      <c r="J77" s="221"/>
      <c r="K77" s="221"/>
      <c r="L77" s="147">
        <f>SUM(L14+L27+L35+L54)</f>
        <v>1</v>
      </c>
      <c r="O77" s="221" t="s">
        <v>70</v>
      </c>
      <c r="P77" s="221"/>
      <c r="Q77" s="221"/>
      <c r="R77" s="106">
        <f>SUM(R14+R27+R35+R54)</f>
        <v>0</v>
      </c>
      <c r="U77" s="39"/>
      <c r="V77" s="39"/>
      <c r="W77" s="40"/>
    </row>
    <row r="78" spans="2:24" ht="15.75" customHeight="1">
      <c r="B78" s="37"/>
      <c r="C78" s="221" t="s">
        <v>72</v>
      </c>
      <c r="D78" s="221"/>
      <c r="E78" s="221"/>
      <c r="F78" s="107">
        <f>F36+F28+F15</f>
        <v>3</v>
      </c>
      <c r="I78" s="221" t="s">
        <v>72</v>
      </c>
      <c r="J78" s="221"/>
      <c r="K78" s="221"/>
      <c r="L78" s="107">
        <f>L36+L28+L15</f>
        <v>2</v>
      </c>
      <c r="O78" s="221" t="s">
        <v>72</v>
      </c>
      <c r="P78" s="221"/>
      <c r="Q78" s="221"/>
      <c r="R78" s="107">
        <f>R36+R28+R15</f>
        <v>1</v>
      </c>
      <c r="U78" s="42"/>
      <c r="V78" s="42"/>
      <c r="W78" s="42"/>
    </row>
    <row r="80" spans="2:24">
      <c r="C80" s="41" t="s">
        <v>79</v>
      </c>
      <c r="F80" s="233" t="s">
        <v>65</v>
      </c>
      <c r="G80" s="233"/>
      <c r="M80" s="42"/>
      <c r="N80" s="42"/>
      <c r="O80" s="42"/>
      <c r="R80" s="108"/>
    </row>
    <row r="81" spans="3:7">
      <c r="C81" s="109" t="s">
        <v>503</v>
      </c>
      <c r="D81" s="80">
        <f>E71+K71+Q71</f>
        <v>261</v>
      </c>
      <c r="F81" s="234">
        <f>F71+L71+R71</f>
        <v>90</v>
      </c>
      <c r="G81" s="233"/>
    </row>
    <row r="82" spans="3:7">
      <c r="C82" s="109" t="s">
        <v>499</v>
      </c>
      <c r="D82" s="80">
        <f>I71+O71+U71</f>
        <v>19.485294117647058</v>
      </c>
      <c r="E82" s="46" t="s">
        <v>63</v>
      </c>
    </row>
    <row r="83" spans="3:7">
      <c r="C83" s="43" t="s">
        <v>500</v>
      </c>
      <c r="D83" s="171">
        <f>G71+M71+S71</f>
        <v>50</v>
      </c>
    </row>
    <row r="84" spans="3:7">
      <c r="C84" s="163" t="s">
        <v>501</v>
      </c>
      <c r="D84" s="88">
        <f>SUM(D81:D83)</f>
        <v>330.48529411764707</v>
      </c>
    </row>
    <row r="86" spans="3:7">
      <c r="C86" s="41"/>
      <c r="D86" s="79"/>
    </row>
    <row r="87" spans="3:7">
      <c r="C87" s="41" t="s">
        <v>64</v>
      </c>
      <c r="D87" s="80"/>
    </row>
    <row r="88" spans="3:7">
      <c r="C88" s="109" t="s">
        <v>503</v>
      </c>
      <c r="D88" s="80">
        <f>E71+K71+Q71</f>
        <v>261</v>
      </c>
    </row>
    <row r="89" spans="3:7">
      <c r="C89" s="43" t="s">
        <v>70</v>
      </c>
      <c r="D89" s="169">
        <f>F77+L77+R77</f>
        <v>2</v>
      </c>
    </row>
    <row r="90" spans="3:7">
      <c r="C90" s="43" t="s">
        <v>504</v>
      </c>
      <c r="D90" s="169">
        <f>F78+L78+R78</f>
        <v>6</v>
      </c>
    </row>
    <row r="91" spans="3:7">
      <c r="C91" s="109" t="s">
        <v>499</v>
      </c>
      <c r="D91" s="170">
        <f>I71+O71+U71</f>
        <v>19.485294117647058</v>
      </c>
    </row>
    <row r="92" spans="3:7">
      <c r="C92" s="109" t="s">
        <v>502</v>
      </c>
      <c r="D92" s="80">
        <f>F81-D89-D90</f>
        <v>82</v>
      </c>
    </row>
    <row r="93" spans="3:7">
      <c r="C93" s="163" t="s">
        <v>501</v>
      </c>
      <c r="D93" s="88">
        <f>SUM(D88:D92)</f>
        <v>370.48529411764707</v>
      </c>
    </row>
    <row r="94" spans="3:7">
      <c r="C94" s="179" t="s">
        <v>76</v>
      </c>
      <c r="D94" s="178">
        <f>F73+L73+R73</f>
        <v>0</v>
      </c>
    </row>
    <row r="95" spans="3:7">
      <c r="C95" s="179" t="s">
        <v>506</v>
      </c>
      <c r="D95" s="178">
        <f>F75+L75+R75</f>
        <v>7</v>
      </c>
    </row>
    <row r="96" spans="3:7">
      <c r="C96" s="186" t="s">
        <v>515</v>
      </c>
      <c r="D96" s="178">
        <f>F76+L76+R76</f>
        <v>13</v>
      </c>
    </row>
    <row r="97" spans="3:24">
      <c r="D97" s="180">
        <f>SUM(D93:D95)</f>
        <v>377.48529411764707</v>
      </c>
    </row>
    <row r="98" spans="3:24">
      <c r="C98" s="109"/>
      <c r="D98" s="162"/>
    </row>
    <row r="100" spans="3:24">
      <c r="C100" s="46"/>
    </row>
    <row r="102" spans="3:24">
      <c r="C102" s="122" t="s">
        <v>490</v>
      </c>
      <c r="E102" s="43" t="s">
        <v>491</v>
      </c>
      <c r="H102" s="122" t="s">
        <v>492</v>
      </c>
      <c r="K102" s="43" t="s">
        <v>493</v>
      </c>
      <c r="N102" s="43" t="s">
        <v>494</v>
      </c>
      <c r="Q102" s="43" t="s">
        <v>74</v>
      </c>
      <c r="T102" s="43" t="s">
        <v>495</v>
      </c>
      <c r="W102" s="124" t="s">
        <v>497</v>
      </c>
    </row>
    <row r="104" spans="3:24">
      <c r="F104" s="44"/>
      <c r="G104" s="44"/>
      <c r="H104" s="44"/>
      <c r="I104" s="44"/>
      <c r="J104" s="44"/>
      <c r="O104" s="44"/>
      <c r="P104" s="44"/>
      <c r="R104" s="37"/>
    </row>
    <row r="105" spans="3:24">
      <c r="E105" s="45"/>
      <c r="F105" s="45"/>
      <c r="G105" s="45"/>
      <c r="H105" s="45"/>
      <c r="I105" s="45"/>
      <c r="J105" s="45"/>
      <c r="O105" s="45"/>
      <c r="P105" s="45"/>
      <c r="R105" s="37"/>
      <c r="T105" s="46"/>
    </row>
    <row r="106" spans="3:24">
      <c r="E106" s="45"/>
      <c r="F106" s="45"/>
      <c r="G106" s="45"/>
      <c r="H106" s="45"/>
      <c r="I106" s="45"/>
      <c r="J106" s="45"/>
      <c r="O106" s="45"/>
      <c r="P106" s="55"/>
      <c r="Q106" s="55"/>
      <c r="R106" s="60"/>
      <c r="S106" s="55"/>
      <c r="T106" s="61"/>
    </row>
    <row r="107" spans="3:24">
      <c r="C107" s="55"/>
      <c r="D107" s="55"/>
      <c r="E107" s="45"/>
      <c r="F107" s="47" t="s">
        <v>57</v>
      </c>
      <c r="G107" s="47"/>
      <c r="H107" s="47" t="s">
        <v>58</v>
      </c>
      <c r="I107" s="47"/>
      <c r="J107" s="47" t="s">
        <v>59</v>
      </c>
      <c r="O107" s="45"/>
      <c r="P107" s="55"/>
      <c r="Q107" s="55"/>
      <c r="R107" s="152"/>
      <c r="S107" s="153" t="s">
        <v>73</v>
      </c>
      <c r="T107" s="154" t="s">
        <v>520</v>
      </c>
      <c r="X107" s="43">
        <v>306</v>
      </c>
    </row>
    <row r="108" spans="3:24">
      <c r="C108" s="55"/>
      <c r="D108" s="55"/>
      <c r="E108" s="45"/>
      <c r="F108" s="50">
        <f>SUM(E6:F20)+SUM(E21:F42)+SUM(E44:F47)+SUM(E49:F54)</f>
        <v>162</v>
      </c>
      <c r="G108" s="51"/>
      <c r="H108" s="50">
        <f>SUM(K6:L20)+SUM(K21:L54)</f>
        <v>66</v>
      </c>
      <c r="I108" s="51"/>
      <c r="J108" s="50">
        <f>SUM(Q6:R20)+SUM(Q21:R54)</f>
        <v>69</v>
      </c>
      <c r="L108" s="79"/>
      <c r="O108" s="45"/>
      <c r="P108" s="155" t="s">
        <v>80</v>
      </c>
      <c r="Q108" s="156">
        <f>F110+H110+J110</f>
        <v>306</v>
      </c>
      <c r="R108" s="55"/>
      <c r="S108" s="154">
        <f>H71+N71+T71</f>
        <v>162.5</v>
      </c>
      <c r="T108" s="61"/>
      <c r="U108" s="140"/>
      <c r="V108" s="213">
        <f>S108+T108</f>
        <v>162.5</v>
      </c>
      <c r="X108" s="43">
        <v>162.5</v>
      </c>
    </row>
    <row r="109" spans="3:24">
      <c r="C109" s="55"/>
      <c r="D109" s="55"/>
      <c r="E109" s="45"/>
      <c r="F109" s="54">
        <f>J63+J69+J70</f>
        <v>6</v>
      </c>
      <c r="G109" s="53"/>
      <c r="H109" s="54">
        <f>P63+P69+P70</f>
        <v>2</v>
      </c>
      <c r="I109" s="54"/>
      <c r="J109" s="54">
        <f>V63+V69+V70</f>
        <v>1</v>
      </c>
      <c r="K109" s="148"/>
      <c r="L109" s="148"/>
      <c r="O109" s="45"/>
      <c r="P109" s="157"/>
      <c r="Q109" s="55"/>
      <c r="R109" s="55"/>
      <c r="S109" s="55"/>
      <c r="T109" s="55"/>
    </row>
    <row r="110" spans="3:24">
      <c r="C110" s="55"/>
      <c r="D110" s="55"/>
      <c r="E110" s="45"/>
      <c r="F110" s="50">
        <f>F108+F109</f>
        <v>168</v>
      </c>
      <c r="G110" s="50"/>
      <c r="H110" s="50">
        <f>H108+H109</f>
        <v>68</v>
      </c>
      <c r="I110" s="50"/>
      <c r="J110" s="52">
        <f>J108+J109</f>
        <v>70</v>
      </c>
      <c r="O110" s="45"/>
      <c r="P110" s="155"/>
      <c r="Q110" s="55"/>
      <c r="R110" s="55"/>
      <c r="S110" s="55"/>
      <c r="T110" s="55"/>
    </row>
    <row r="111" spans="3:24">
      <c r="C111" s="55"/>
      <c r="D111" s="55"/>
      <c r="E111" s="55"/>
      <c r="F111" s="48"/>
      <c r="G111" s="48"/>
      <c r="H111" s="48"/>
      <c r="I111" s="48"/>
      <c r="J111" s="48"/>
      <c r="O111" s="48"/>
      <c r="P111" s="48"/>
      <c r="Q111" s="48"/>
      <c r="R111" s="55"/>
    </row>
    <row r="112" spans="3:24">
      <c r="C112" s="55"/>
      <c r="D112" s="55"/>
      <c r="E112" s="55"/>
      <c r="F112" s="48"/>
      <c r="G112" s="48"/>
      <c r="H112" s="48"/>
      <c r="I112" s="48"/>
      <c r="J112" s="48"/>
      <c r="O112" s="48"/>
      <c r="P112" s="48"/>
      <c r="Q112" s="48"/>
      <c r="R112" s="55"/>
    </row>
    <row r="113" spans="3:18">
      <c r="C113" s="55"/>
      <c r="D113" s="55"/>
      <c r="E113" s="55"/>
      <c r="F113" s="60"/>
      <c r="G113" s="60"/>
      <c r="H113" s="60"/>
      <c r="I113" s="60"/>
      <c r="J113" s="56"/>
      <c r="K113" s="149"/>
      <c r="L113" s="149"/>
      <c r="N113" s="39"/>
      <c r="O113" s="55"/>
      <c r="P113" s="55"/>
      <c r="Q113" s="55"/>
      <c r="R113" s="55"/>
    </row>
    <row r="114" spans="3:18">
      <c r="C114" s="55"/>
      <c r="D114" s="55"/>
      <c r="E114" s="55"/>
      <c r="F114" s="57"/>
      <c r="G114" s="57"/>
      <c r="H114" s="57"/>
      <c r="I114" s="61"/>
      <c r="J114" s="110"/>
      <c r="K114" s="147"/>
      <c r="L114" s="147"/>
      <c r="N114" s="80"/>
      <c r="O114" s="55"/>
      <c r="P114" s="55"/>
      <c r="Q114" s="55"/>
      <c r="R114" s="55"/>
    </row>
    <row r="115" spans="3:18">
      <c r="C115" s="55"/>
      <c r="D115" s="55"/>
      <c r="E115" s="55"/>
      <c r="F115" s="55"/>
      <c r="G115" s="55"/>
      <c r="H115" s="55"/>
      <c r="I115" s="55"/>
      <c r="J115" s="61"/>
      <c r="K115" s="150"/>
      <c r="L115" s="144"/>
      <c r="N115" s="150"/>
      <c r="O115" s="55"/>
      <c r="P115" s="55"/>
      <c r="Q115" s="55"/>
      <c r="R115" s="55"/>
    </row>
    <row r="116" spans="3:18">
      <c r="E116" s="55"/>
      <c r="F116" s="55"/>
      <c r="G116" s="55"/>
      <c r="H116" s="55"/>
      <c r="I116" s="55"/>
      <c r="J116" s="55"/>
      <c r="O116" s="55"/>
      <c r="P116" s="55"/>
      <c r="Q116" s="55"/>
      <c r="R116" s="55"/>
    </row>
    <row r="117" spans="3:18">
      <c r="E117" s="55"/>
      <c r="F117" s="55"/>
      <c r="G117" s="58"/>
      <c r="H117" s="59"/>
      <c r="I117" s="60"/>
      <c r="J117" s="61"/>
      <c r="K117" s="37"/>
      <c r="L117" s="37"/>
      <c r="M117" s="37"/>
      <c r="N117" s="40"/>
      <c r="O117" s="55"/>
      <c r="P117" s="55"/>
      <c r="Q117" s="55"/>
      <c r="R117" s="55"/>
    </row>
    <row r="118" spans="3:18">
      <c r="E118" s="55"/>
      <c r="F118" s="55"/>
      <c r="G118" s="56"/>
      <c r="H118" s="61"/>
      <c r="I118" s="61"/>
      <c r="J118" s="111"/>
      <c r="K118" s="151"/>
      <c r="L118" s="151"/>
      <c r="O118" s="55"/>
      <c r="P118" s="55"/>
      <c r="Q118" s="55"/>
      <c r="R118" s="55"/>
    </row>
    <row r="119" spans="3:18">
      <c r="E119" s="55"/>
      <c r="F119" s="55"/>
      <c r="G119" s="62"/>
      <c r="H119" s="55"/>
      <c r="I119" s="112"/>
      <c r="J119" s="113"/>
      <c r="K119" s="149"/>
      <c r="L119" s="149"/>
      <c r="N119" s="80"/>
      <c r="O119" s="55"/>
      <c r="P119" s="55"/>
      <c r="Q119" s="55"/>
      <c r="R119" s="55"/>
    </row>
    <row r="120" spans="3:18">
      <c r="E120" s="55"/>
      <c r="F120" s="55"/>
      <c r="G120" s="55"/>
      <c r="H120" s="55"/>
      <c r="I120" s="55"/>
      <c r="J120" s="55"/>
      <c r="O120" s="55"/>
      <c r="P120" s="55"/>
      <c r="Q120" s="55"/>
      <c r="R120" s="55"/>
    </row>
    <row r="121" spans="3:18">
      <c r="E121" s="55"/>
      <c r="F121" s="55"/>
      <c r="G121" s="55"/>
      <c r="H121" s="55"/>
      <c r="I121" s="55"/>
      <c r="J121" s="55"/>
      <c r="O121" s="55"/>
      <c r="P121" s="55"/>
      <c r="Q121" s="55"/>
      <c r="R121" s="55"/>
    </row>
    <row r="122" spans="3:18">
      <c r="E122" s="55"/>
      <c r="F122" s="55"/>
      <c r="G122" s="55"/>
      <c r="H122" s="55"/>
      <c r="I122" s="55"/>
      <c r="J122" s="55"/>
      <c r="O122" s="55"/>
      <c r="P122" s="55"/>
      <c r="Q122" s="55"/>
      <c r="R122" s="55"/>
    </row>
    <row r="123" spans="3:18">
      <c r="E123" s="55"/>
      <c r="F123" s="55"/>
      <c r="G123" s="55"/>
      <c r="H123" s="55"/>
      <c r="I123" s="55"/>
      <c r="J123" s="55"/>
      <c r="O123" s="55"/>
      <c r="P123" s="55"/>
      <c r="Q123" s="55"/>
      <c r="R123" s="55"/>
    </row>
    <row r="124" spans="3:18">
      <c r="E124" s="55"/>
      <c r="F124" s="55"/>
      <c r="G124" s="55"/>
      <c r="H124" s="55"/>
      <c r="I124" s="55"/>
      <c r="J124" s="55"/>
      <c r="O124" s="55"/>
      <c r="P124" s="55"/>
      <c r="Q124" s="55"/>
      <c r="R124" s="55"/>
    </row>
  </sheetData>
  <mergeCells count="51">
    <mergeCell ref="F81:G81"/>
    <mergeCell ref="X23:X24"/>
    <mergeCell ref="J42:J43"/>
    <mergeCell ref="F80:G80"/>
    <mergeCell ref="J59:P59"/>
    <mergeCell ref="O77:Q77"/>
    <mergeCell ref="O78:Q78"/>
    <mergeCell ref="O73:Q73"/>
    <mergeCell ref="I77:K77"/>
    <mergeCell ref="I78:K78"/>
    <mergeCell ref="O76:Q76"/>
    <mergeCell ref="O75:Q75"/>
    <mergeCell ref="I73:K73"/>
    <mergeCell ref="C77:E77"/>
    <mergeCell ref="C78:E78"/>
    <mergeCell ref="C76:E76"/>
    <mergeCell ref="I76:K76"/>
    <mergeCell ref="C75:E75"/>
    <mergeCell ref="I75:K75"/>
    <mergeCell ref="I2:Q2"/>
    <mergeCell ref="Q3:V3"/>
    <mergeCell ref="K3:P3"/>
    <mergeCell ref="K60:P60"/>
    <mergeCell ref="P42:P43"/>
    <mergeCell ref="V42:V43"/>
    <mergeCell ref="P18:P20"/>
    <mergeCell ref="V18:V20"/>
    <mergeCell ref="Q60:V60"/>
    <mergeCell ref="E60:J60"/>
    <mergeCell ref="B5:C5"/>
    <mergeCell ref="B37:C37"/>
    <mergeCell ref="B62:C62"/>
    <mergeCell ref="E3:J3"/>
    <mergeCell ref="D23:D24"/>
    <mergeCell ref="D42:D43"/>
    <mergeCell ref="B29:C29"/>
    <mergeCell ref="B16:C16"/>
    <mergeCell ref="J18:J20"/>
    <mergeCell ref="D18:D20"/>
    <mergeCell ref="W18:W20"/>
    <mergeCell ref="X18:X20"/>
    <mergeCell ref="C74:E74"/>
    <mergeCell ref="I74:K74"/>
    <mergeCell ref="O74:Q74"/>
    <mergeCell ref="J47:J48"/>
    <mergeCell ref="P47:P48"/>
    <mergeCell ref="X47:X48"/>
    <mergeCell ref="D47:D48"/>
    <mergeCell ref="W47:W48"/>
    <mergeCell ref="V47:V48"/>
    <mergeCell ref="C73:E73"/>
  </mergeCells>
  <pageMargins left="0.16" right="0.12" top="0.4" bottom="0.34" header="0.3" footer="0.3"/>
  <pageSetup paperSize="8" scale="45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topLeftCell="A16" workbookViewId="0">
      <selection activeCell="B14" sqref="B14"/>
    </sheetView>
  </sheetViews>
  <sheetFormatPr defaultRowHeight="15"/>
  <cols>
    <col min="1" max="1" width="5.42578125" style="4" bestFit="1" customWidth="1"/>
    <col min="2" max="2" width="22.28515625" style="4" customWidth="1"/>
    <col min="3" max="3" width="5.85546875" style="4" customWidth="1"/>
    <col min="5" max="5" width="7.5703125" customWidth="1"/>
    <col min="6" max="6" width="17.5703125" customWidth="1"/>
  </cols>
  <sheetData>
    <row r="1" spans="1:7" ht="15.75">
      <c r="B1" s="28" t="s">
        <v>77</v>
      </c>
    </row>
    <row r="2" spans="1:7" ht="15.75">
      <c r="A2" s="10"/>
      <c r="B2" s="19" t="s">
        <v>78</v>
      </c>
      <c r="C2" s="20"/>
    </row>
    <row r="3" spans="1:7">
      <c r="A3" s="18" t="s">
        <v>7</v>
      </c>
      <c r="B3" s="18" t="s">
        <v>0</v>
      </c>
      <c r="C3" s="21" t="s">
        <v>40</v>
      </c>
      <c r="E3" s="29"/>
      <c r="F3" s="30"/>
      <c r="G3" s="31" t="s">
        <v>54</v>
      </c>
    </row>
    <row r="4" spans="1:7">
      <c r="A4" s="236" t="s">
        <v>38</v>
      </c>
      <c r="B4" s="236"/>
      <c r="C4" s="18"/>
      <c r="E4" s="32" t="s">
        <v>7</v>
      </c>
      <c r="F4" s="32" t="s">
        <v>0</v>
      </c>
      <c r="G4" s="30" t="s">
        <v>40</v>
      </c>
    </row>
    <row r="5" spans="1:7">
      <c r="A5" s="21">
        <v>1</v>
      </c>
      <c r="B5" s="11" t="s">
        <v>8</v>
      </c>
      <c r="C5" s="22">
        <v>3</v>
      </c>
      <c r="E5" s="33" t="s">
        <v>37</v>
      </c>
      <c r="F5" s="23"/>
      <c r="G5" s="18"/>
    </row>
    <row r="6" spans="1:7">
      <c r="A6" s="21">
        <f>A5+1</f>
        <v>2</v>
      </c>
      <c r="B6" s="11" t="s">
        <v>6</v>
      </c>
      <c r="C6" s="22">
        <v>3</v>
      </c>
      <c r="E6" s="21">
        <v>48</v>
      </c>
      <c r="F6" s="16" t="s">
        <v>28</v>
      </c>
      <c r="G6" s="22">
        <v>5</v>
      </c>
    </row>
    <row r="7" spans="1:7">
      <c r="A7" s="21">
        <f t="shared" ref="A7:A9" si="0">A6+1</f>
        <v>3</v>
      </c>
      <c r="B7" s="11" t="s">
        <v>4</v>
      </c>
      <c r="C7" s="22">
        <v>6</v>
      </c>
      <c r="E7" s="21">
        <f>E6+1</f>
        <v>49</v>
      </c>
      <c r="F7" s="16" t="s">
        <v>36</v>
      </c>
      <c r="G7" s="22">
        <v>3</v>
      </c>
    </row>
    <row r="8" spans="1:7">
      <c r="A8" s="21">
        <f t="shared" si="0"/>
        <v>4</v>
      </c>
      <c r="B8" s="11" t="s">
        <v>22</v>
      </c>
      <c r="C8" s="22">
        <v>9</v>
      </c>
      <c r="E8" s="21">
        <f t="shared" ref="E8:E11" si="1">E7+1</f>
        <v>50</v>
      </c>
      <c r="F8" s="16" t="s">
        <v>41</v>
      </c>
      <c r="G8" s="22">
        <v>5</v>
      </c>
    </row>
    <row r="9" spans="1:7">
      <c r="A9" s="21">
        <f t="shared" si="0"/>
        <v>5</v>
      </c>
      <c r="B9" s="11" t="s">
        <v>3</v>
      </c>
      <c r="C9" s="22">
        <v>6</v>
      </c>
      <c r="E9" s="21">
        <f t="shared" si="1"/>
        <v>51</v>
      </c>
      <c r="F9" s="17" t="s">
        <v>42</v>
      </c>
      <c r="G9" s="21">
        <v>2</v>
      </c>
    </row>
    <row r="10" spans="1:7">
      <c r="A10" s="21">
        <f>A9+1</f>
        <v>6</v>
      </c>
      <c r="B10" s="11" t="s">
        <v>5</v>
      </c>
      <c r="C10" s="22">
        <f>6*3</f>
        <v>18</v>
      </c>
      <c r="E10" s="21">
        <f t="shared" si="1"/>
        <v>52</v>
      </c>
      <c r="F10" s="17" t="s">
        <v>67</v>
      </c>
      <c r="G10" s="21">
        <v>1</v>
      </c>
    </row>
    <row r="11" spans="1:7">
      <c r="A11" s="21">
        <v>8</v>
      </c>
      <c r="B11" s="11" t="s">
        <v>47</v>
      </c>
      <c r="C11" s="22">
        <v>6</v>
      </c>
      <c r="E11" s="21">
        <f t="shared" si="1"/>
        <v>53</v>
      </c>
      <c r="F11" s="17" t="s">
        <v>66</v>
      </c>
      <c r="G11" s="21">
        <v>1</v>
      </c>
    </row>
    <row r="12" spans="1:7" ht="15.75">
      <c r="A12" s="21">
        <v>9</v>
      </c>
      <c r="B12" s="11" t="s">
        <v>48</v>
      </c>
      <c r="C12" s="22">
        <v>3</v>
      </c>
      <c r="E12" s="13"/>
      <c r="F12" s="24" t="s">
        <v>2</v>
      </c>
      <c r="G12" s="27">
        <f>SUM(C5:C43)+SUM(G6:G11)</f>
        <v>385</v>
      </c>
    </row>
    <row r="13" spans="1:7">
      <c r="A13" s="237" t="s">
        <v>33</v>
      </c>
      <c r="B13" s="238"/>
      <c r="C13" s="14"/>
    </row>
    <row r="14" spans="1:7">
      <c r="A14" s="21">
        <v>13</v>
      </c>
      <c r="B14" s="11" t="s">
        <v>9</v>
      </c>
      <c r="C14" s="21">
        <v>4</v>
      </c>
    </row>
    <row r="15" spans="1:7">
      <c r="A15" s="21">
        <f>A14+1</f>
        <v>14</v>
      </c>
      <c r="B15" s="11" t="s">
        <v>10</v>
      </c>
      <c r="C15" s="21">
        <f>16*3</f>
        <v>48</v>
      </c>
    </row>
    <row r="16" spans="1:7">
      <c r="A16" s="21">
        <f t="shared" ref="A16:A20" si="2">A15+1</f>
        <v>15</v>
      </c>
      <c r="B16" s="11" t="s">
        <v>11</v>
      </c>
      <c r="C16" s="239">
        <f>12*3</f>
        <v>36</v>
      </c>
    </row>
    <row r="17" spans="1:3">
      <c r="A17" s="21">
        <v>15</v>
      </c>
      <c r="B17" s="11" t="s">
        <v>76</v>
      </c>
      <c r="C17" s="239"/>
    </row>
    <row r="18" spans="1:3">
      <c r="A18" s="21">
        <f>A16+1</f>
        <v>16</v>
      </c>
      <c r="B18" s="11" t="s">
        <v>39</v>
      </c>
      <c r="C18" s="21">
        <f>7*3</f>
        <v>21</v>
      </c>
    </row>
    <row r="19" spans="1:3">
      <c r="A19" s="21">
        <f t="shared" si="2"/>
        <v>17</v>
      </c>
      <c r="B19" s="11" t="s">
        <v>20</v>
      </c>
      <c r="C19" s="21">
        <v>1</v>
      </c>
    </row>
    <row r="20" spans="1:3">
      <c r="A20" s="21">
        <f t="shared" si="2"/>
        <v>18</v>
      </c>
      <c r="B20" s="11" t="s">
        <v>55</v>
      </c>
      <c r="C20" s="21">
        <v>6</v>
      </c>
    </row>
    <row r="21" spans="1:3">
      <c r="A21" s="21">
        <v>19</v>
      </c>
      <c r="B21" s="11" t="s">
        <v>44</v>
      </c>
      <c r="C21" s="21">
        <v>3</v>
      </c>
    </row>
    <row r="22" spans="1:3">
      <c r="A22" s="237" t="s">
        <v>12</v>
      </c>
      <c r="B22" s="238"/>
      <c r="C22" s="14"/>
    </row>
    <row r="23" spans="1:3">
      <c r="A23" s="21">
        <v>22</v>
      </c>
      <c r="B23" s="11" t="s">
        <v>12</v>
      </c>
      <c r="C23" s="21">
        <f>13*3</f>
        <v>39</v>
      </c>
    </row>
    <row r="24" spans="1:3">
      <c r="A24" s="21">
        <f>A23+1</f>
        <v>23</v>
      </c>
      <c r="B24" s="11" t="s">
        <v>23</v>
      </c>
      <c r="C24" s="12">
        <f>6*3</f>
        <v>18</v>
      </c>
    </row>
    <row r="25" spans="1:3">
      <c r="A25" s="21">
        <f t="shared" ref="A25:A28" si="3">A24+1</f>
        <v>24</v>
      </c>
      <c r="B25" s="11" t="s">
        <v>19</v>
      </c>
      <c r="C25" s="21">
        <v>1</v>
      </c>
    </row>
    <row r="26" spans="1:3">
      <c r="A26" s="21">
        <f t="shared" si="3"/>
        <v>25</v>
      </c>
      <c r="B26" s="11" t="s">
        <v>21</v>
      </c>
      <c r="C26" s="21">
        <v>2</v>
      </c>
    </row>
    <row r="27" spans="1:3">
      <c r="A27" s="21">
        <f t="shared" si="3"/>
        <v>26</v>
      </c>
      <c r="B27" s="15" t="s">
        <v>18</v>
      </c>
      <c r="C27" s="21">
        <v>1</v>
      </c>
    </row>
    <row r="28" spans="1:3">
      <c r="A28" s="21">
        <f t="shared" si="3"/>
        <v>27</v>
      </c>
      <c r="B28" s="15" t="s">
        <v>49</v>
      </c>
      <c r="C28" s="21">
        <v>6</v>
      </c>
    </row>
    <row r="29" spans="1:3">
      <c r="A29" s="237" t="s">
        <v>34</v>
      </c>
      <c r="B29" s="238"/>
      <c r="C29" s="14"/>
    </row>
    <row r="30" spans="1:3">
      <c r="A30" s="21">
        <v>31</v>
      </c>
      <c r="B30" s="11" t="s">
        <v>13</v>
      </c>
      <c r="C30" s="21">
        <v>7</v>
      </c>
    </row>
    <row r="31" spans="1:3">
      <c r="A31" s="21">
        <f>A30+1</f>
        <v>32</v>
      </c>
      <c r="B31" s="11" t="s">
        <v>50</v>
      </c>
      <c r="C31" s="21">
        <v>3</v>
      </c>
    </row>
    <row r="32" spans="1:3">
      <c r="A32" s="21">
        <f t="shared" ref="A32:A43" si="4">A31+1</f>
        <v>33</v>
      </c>
      <c r="B32" s="11" t="s">
        <v>14</v>
      </c>
      <c r="C32" s="21">
        <v>10</v>
      </c>
    </row>
    <row r="33" spans="1:3">
      <c r="A33" s="21">
        <f t="shared" si="4"/>
        <v>34</v>
      </c>
      <c r="B33" s="11" t="s">
        <v>62</v>
      </c>
      <c r="C33" s="21">
        <v>5</v>
      </c>
    </row>
    <row r="34" spans="1:3">
      <c r="A34" s="21">
        <f t="shared" si="4"/>
        <v>35</v>
      </c>
      <c r="B34" s="11" t="s">
        <v>35</v>
      </c>
      <c r="C34" s="22">
        <v>16</v>
      </c>
    </row>
    <row r="35" spans="1:3">
      <c r="A35" s="21">
        <v>37</v>
      </c>
      <c r="B35" s="15" t="s">
        <v>27</v>
      </c>
      <c r="C35" s="12">
        <v>3</v>
      </c>
    </row>
    <row r="36" spans="1:3">
      <c r="A36" s="21">
        <f t="shared" si="4"/>
        <v>38</v>
      </c>
      <c r="B36" s="11" t="s">
        <v>24</v>
      </c>
      <c r="C36" s="21">
        <v>6</v>
      </c>
    </row>
    <row r="37" spans="1:3">
      <c r="A37" s="21">
        <f t="shared" si="4"/>
        <v>39</v>
      </c>
      <c r="B37" s="11" t="s">
        <v>25</v>
      </c>
      <c r="C37" s="21">
        <v>19</v>
      </c>
    </row>
    <row r="38" spans="1:3">
      <c r="A38" s="21">
        <f t="shared" si="4"/>
        <v>40</v>
      </c>
      <c r="B38" s="11" t="s">
        <v>26</v>
      </c>
      <c r="C38" s="21">
        <v>25</v>
      </c>
    </row>
    <row r="39" spans="1:3">
      <c r="A39" s="21">
        <v>41</v>
      </c>
      <c r="B39" s="11" t="s">
        <v>29</v>
      </c>
      <c r="C39" s="21">
        <v>2</v>
      </c>
    </row>
    <row r="40" spans="1:3">
      <c r="A40" s="21">
        <f t="shared" si="4"/>
        <v>42</v>
      </c>
      <c r="B40" s="11" t="s">
        <v>68</v>
      </c>
      <c r="C40" s="21">
        <v>9</v>
      </c>
    </row>
    <row r="41" spans="1:3">
      <c r="A41" s="21">
        <f t="shared" si="4"/>
        <v>43</v>
      </c>
      <c r="B41" s="16" t="s">
        <v>69</v>
      </c>
      <c r="C41" s="22">
        <v>2</v>
      </c>
    </row>
    <row r="42" spans="1:3">
      <c r="A42" s="21">
        <f t="shared" si="4"/>
        <v>44</v>
      </c>
      <c r="B42" s="11" t="s">
        <v>30</v>
      </c>
      <c r="C42" s="21">
        <v>6</v>
      </c>
    </row>
    <row r="43" spans="1:3">
      <c r="A43" s="21">
        <f t="shared" si="4"/>
        <v>45</v>
      </c>
      <c r="B43" s="11" t="s">
        <v>31</v>
      </c>
      <c r="C43" s="21">
        <v>15</v>
      </c>
    </row>
    <row r="44" spans="1:3" ht="16.5" thickBot="1">
      <c r="A44" s="13"/>
      <c r="B44" s="25" t="s">
        <v>2</v>
      </c>
      <c r="C44" s="26">
        <f>SUM(C5:C43)</f>
        <v>368</v>
      </c>
    </row>
    <row r="55" spans="1:3" ht="16.5" customHeight="1"/>
    <row r="56" spans="1:3">
      <c r="A56" s="10"/>
      <c r="B56"/>
      <c r="C56"/>
    </row>
    <row r="57" spans="1:3">
      <c r="A57" s="13"/>
      <c r="B57"/>
      <c r="C57"/>
    </row>
    <row r="58" spans="1:3">
      <c r="A58" s="14"/>
      <c r="B58"/>
      <c r="C58"/>
    </row>
    <row r="59" spans="1:3">
      <c r="A59" s="10"/>
      <c r="B59"/>
      <c r="C59"/>
    </row>
    <row r="60" spans="1:3">
      <c r="A60" s="10"/>
      <c r="B60" s="10"/>
      <c r="C60" s="10"/>
    </row>
    <row r="61" spans="1:3">
      <c r="B61" s="7"/>
      <c r="C61" s="6"/>
    </row>
    <row r="64" spans="1:3">
      <c r="B64" s="5"/>
    </row>
    <row r="70" spans="2:3">
      <c r="B70" s="8"/>
      <c r="C70" s="8"/>
    </row>
    <row r="71" spans="2:3">
      <c r="B71" s="8"/>
      <c r="C71" s="8"/>
    </row>
    <row r="72" spans="2:3">
      <c r="B72" s="8"/>
      <c r="C72" s="8"/>
    </row>
    <row r="73" spans="2:3">
      <c r="B73" s="8"/>
      <c r="C73" s="8"/>
    </row>
    <row r="74" spans="2:3">
      <c r="B74" s="8"/>
      <c r="C74" s="8"/>
    </row>
    <row r="75" spans="2:3">
      <c r="B75" s="8"/>
      <c r="C75" s="8"/>
    </row>
    <row r="76" spans="2:3">
      <c r="B76" s="8"/>
      <c r="C76" s="8"/>
    </row>
    <row r="77" spans="2:3">
      <c r="B77" s="8"/>
      <c r="C77" s="8"/>
    </row>
    <row r="78" spans="2:3">
      <c r="B78" s="8"/>
      <c r="C78" s="8"/>
    </row>
  </sheetData>
  <mergeCells count="5">
    <mergeCell ref="A4:B4"/>
    <mergeCell ref="A13:B13"/>
    <mergeCell ref="C16:C17"/>
    <mergeCell ref="A22:B22"/>
    <mergeCell ref="A29:B29"/>
  </mergeCells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01"/>
  <sheetViews>
    <sheetView topLeftCell="A481" workbookViewId="0">
      <selection activeCell="H496" sqref="H496"/>
    </sheetView>
  </sheetViews>
  <sheetFormatPr defaultRowHeight="15"/>
  <cols>
    <col min="1" max="25" width="9.140625" style="115"/>
  </cols>
  <sheetData>
    <row r="1" spans="1:25" ht="15" customHeight="1"/>
    <row r="2" spans="1:25" ht="15" customHeight="1">
      <c r="G2" s="246" t="s">
        <v>82</v>
      </c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</row>
    <row r="3" spans="1:25" ht="15" customHeight="1"/>
    <row r="4" spans="1:25" ht="15" customHeight="1">
      <c r="B4" s="242" t="s">
        <v>83</v>
      </c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</row>
    <row r="5" spans="1:25" ht="15" customHeight="1"/>
    <row r="6" spans="1:25" ht="15" customHeight="1">
      <c r="A6" s="247" t="s">
        <v>84</v>
      </c>
      <c r="B6" s="247"/>
      <c r="D6" s="116" t="s">
        <v>85</v>
      </c>
      <c r="F6" s="248" t="s">
        <v>86</v>
      </c>
      <c r="G6" s="248"/>
      <c r="I6" s="248" t="s">
        <v>87</v>
      </c>
      <c r="J6" s="248"/>
      <c r="K6" s="117" t="s">
        <v>88</v>
      </c>
      <c r="M6" s="248" t="s">
        <v>89</v>
      </c>
      <c r="N6" s="248"/>
      <c r="O6" s="117" t="s">
        <v>90</v>
      </c>
      <c r="Q6" s="117" t="s">
        <v>91</v>
      </c>
      <c r="S6" s="249" t="s">
        <v>92</v>
      </c>
      <c r="T6" s="249"/>
      <c r="W6" s="117" t="s">
        <v>93</v>
      </c>
      <c r="Y6" s="117" t="s">
        <v>94</v>
      </c>
    </row>
    <row r="7" spans="1:25" ht="15" customHeight="1"/>
    <row r="8" spans="1:25" ht="15" customHeight="1">
      <c r="F8" s="245" t="s">
        <v>95</v>
      </c>
      <c r="G8" s="245"/>
      <c r="H8" s="245"/>
      <c r="I8" s="245"/>
    </row>
    <row r="9" spans="1:25" ht="15" customHeight="1">
      <c r="A9" s="241">
        <v>1</v>
      </c>
      <c r="B9" s="241"/>
      <c r="C9" s="241"/>
      <c r="D9" s="118">
        <v>4918</v>
      </c>
      <c r="F9" s="242" t="s">
        <v>96</v>
      </c>
      <c r="G9" s="242"/>
      <c r="I9" s="242" t="s">
        <v>95</v>
      </c>
      <c r="J9" s="242"/>
      <c r="K9" s="243">
        <v>43171</v>
      </c>
      <c r="L9" s="243"/>
      <c r="M9" s="244" t="s">
        <v>97</v>
      </c>
      <c r="N9" s="244"/>
      <c r="O9" s="119">
        <v>0</v>
      </c>
      <c r="Q9" s="119">
        <v>1</v>
      </c>
      <c r="S9" s="240">
        <v>0</v>
      </c>
      <c r="T9" s="240"/>
      <c r="W9" s="119">
        <v>0</v>
      </c>
      <c r="Y9" s="119">
        <v>1</v>
      </c>
    </row>
    <row r="10" spans="1:25" ht="15" customHeight="1">
      <c r="A10" s="241">
        <v>2</v>
      </c>
      <c r="B10" s="241"/>
      <c r="C10" s="241"/>
      <c r="D10" s="118">
        <v>16619</v>
      </c>
      <c r="F10" s="242" t="s">
        <v>98</v>
      </c>
      <c r="G10" s="242"/>
      <c r="I10" s="242" t="s">
        <v>95</v>
      </c>
      <c r="J10" s="242"/>
      <c r="K10" s="243">
        <v>44198</v>
      </c>
      <c r="L10" s="243"/>
      <c r="M10" s="244" t="s">
        <v>99</v>
      </c>
      <c r="N10" s="244"/>
      <c r="O10" s="119">
        <v>1</v>
      </c>
      <c r="Q10" s="119">
        <v>0</v>
      </c>
      <c r="S10" s="240">
        <v>0</v>
      </c>
      <c r="T10" s="240"/>
      <c r="W10" s="119">
        <v>0</v>
      </c>
      <c r="Y10" s="119">
        <v>1</v>
      </c>
    </row>
    <row r="11" spans="1:25" ht="15" customHeight="1">
      <c r="A11" s="241">
        <v>3</v>
      </c>
      <c r="B11" s="241"/>
      <c r="C11" s="241"/>
      <c r="D11" s="118">
        <v>16231</v>
      </c>
      <c r="F11" s="242" t="s">
        <v>100</v>
      </c>
      <c r="G11" s="242"/>
      <c r="I11" s="242" t="s">
        <v>95</v>
      </c>
      <c r="J11" s="242"/>
      <c r="K11" s="243">
        <v>43581</v>
      </c>
      <c r="L11" s="243"/>
      <c r="M11" s="244" t="s">
        <v>99</v>
      </c>
      <c r="N11" s="244"/>
      <c r="O11" s="119">
        <v>0</v>
      </c>
      <c r="Q11" s="119">
        <v>0</v>
      </c>
      <c r="S11" s="240">
        <v>1</v>
      </c>
      <c r="T11" s="240"/>
      <c r="W11" s="119">
        <v>0</v>
      </c>
      <c r="Y11" s="119">
        <v>1</v>
      </c>
    </row>
    <row r="12" spans="1:25" ht="15" customHeight="1">
      <c r="A12" s="241">
        <v>4</v>
      </c>
      <c r="B12" s="241"/>
      <c r="C12" s="241"/>
      <c r="D12" s="118">
        <v>16337</v>
      </c>
      <c r="F12" s="242" t="s">
        <v>101</v>
      </c>
      <c r="G12" s="242"/>
      <c r="I12" s="242" t="s">
        <v>95</v>
      </c>
      <c r="J12" s="242"/>
      <c r="K12" s="243">
        <v>41307</v>
      </c>
      <c r="L12" s="243"/>
      <c r="M12" s="244" t="s">
        <v>99</v>
      </c>
      <c r="N12" s="244"/>
      <c r="O12" s="119">
        <v>0</v>
      </c>
      <c r="Q12" s="119">
        <v>0</v>
      </c>
      <c r="S12" s="240">
        <v>1</v>
      </c>
      <c r="T12" s="240"/>
      <c r="W12" s="119">
        <v>0</v>
      </c>
      <c r="Y12" s="119">
        <v>1</v>
      </c>
    </row>
    <row r="13" spans="1:25" ht="15" customHeight="1">
      <c r="A13" s="241">
        <v>5</v>
      </c>
      <c r="B13" s="241"/>
      <c r="C13" s="241"/>
      <c r="D13" s="118">
        <v>5552</v>
      </c>
      <c r="F13" s="242" t="s">
        <v>102</v>
      </c>
      <c r="G13" s="242"/>
      <c r="I13" s="242" t="s">
        <v>95</v>
      </c>
      <c r="J13" s="242"/>
      <c r="K13" s="243">
        <v>43773</v>
      </c>
      <c r="L13" s="243"/>
      <c r="M13" s="244" t="s">
        <v>97</v>
      </c>
      <c r="N13" s="244"/>
      <c r="O13" s="119">
        <v>1</v>
      </c>
      <c r="Q13" s="119">
        <v>0</v>
      </c>
      <c r="S13" s="240">
        <v>0</v>
      </c>
      <c r="T13" s="240"/>
      <c r="W13" s="119">
        <v>0</v>
      </c>
      <c r="Y13" s="119">
        <v>1</v>
      </c>
    </row>
    <row r="14" spans="1:25" ht="15" customHeight="1">
      <c r="A14" s="241">
        <v>6</v>
      </c>
      <c r="B14" s="241"/>
      <c r="C14" s="241"/>
      <c r="D14" s="118">
        <v>5434</v>
      </c>
      <c r="F14" s="242" t="s">
        <v>103</v>
      </c>
      <c r="G14" s="242"/>
      <c r="I14" s="242" t="s">
        <v>95</v>
      </c>
      <c r="J14" s="242"/>
      <c r="K14" s="243">
        <v>43633</v>
      </c>
      <c r="L14" s="243"/>
      <c r="M14" s="244" t="s">
        <v>97</v>
      </c>
      <c r="N14" s="244"/>
      <c r="O14" s="119">
        <v>1</v>
      </c>
      <c r="Q14" s="119">
        <v>0</v>
      </c>
      <c r="S14" s="240">
        <v>0</v>
      </c>
      <c r="T14" s="240"/>
      <c r="W14" s="119">
        <v>0</v>
      </c>
      <c r="Y14" s="119">
        <v>1</v>
      </c>
    </row>
    <row r="15" spans="1:25" ht="15" customHeight="1">
      <c r="A15" s="241">
        <v>7</v>
      </c>
      <c r="B15" s="241"/>
      <c r="C15" s="241"/>
      <c r="D15" s="118">
        <v>3242</v>
      </c>
      <c r="F15" s="242" t="s">
        <v>103</v>
      </c>
      <c r="G15" s="242"/>
      <c r="I15" s="242" t="s">
        <v>95</v>
      </c>
      <c r="J15" s="242"/>
      <c r="K15" s="243">
        <v>42135</v>
      </c>
      <c r="L15" s="243"/>
      <c r="M15" s="244" t="s">
        <v>97</v>
      </c>
      <c r="N15" s="244"/>
      <c r="O15" s="119">
        <v>0</v>
      </c>
      <c r="Q15" s="119">
        <v>1</v>
      </c>
      <c r="S15" s="240">
        <v>0</v>
      </c>
      <c r="T15" s="240"/>
      <c r="W15" s="119">
        <v>0</v>
      </c>
      <c r="Y15" s="119">
        <v>1</v>
      </c>
    </row>
    <row r="16" spans="1:25" ht="15" customHeight="1">
      <c r="A16" s="241">
        <v>8</v>
      </c>
      <c r="B16" s="241"/>
      <c r="C16" s="241"/>
      <c r="D16" s="118">
        <v>5058</v>
      </c>
      <c r="F16" s="242" t="s">
        <v>104</v>
      </c>
      <c r="G16" s="242"/>
      <c r="I16" s="242" t="s">
        <v>95</v>
      </c>
      <c r="J16" s="242"/>
      <c r="K16" s="243">
        <v>43311</v>
      </c>
      <c r="L16" s="243"/>
      <c r="M16" s="244" t="s">
        <v>97</v>
      </c>
      <c r="N16" s="244"/>
      <c r="O16" s="119">
        <v>1</v>
      </c>
      <c r="Q16" s="119">
        <v>0</v>
      </c>
      <c r="S16" s="240">
        <v>0</v>
      </c>
      <c r="T16" s="240"/>
      <c r="W16" s="119">
        <v>0</v>
      </c>
      <c r="Y16" s="119">
        <v>1</v>
      </c>
    </row>
    <row r="17" spans="1:25" ht="15" customHeight="1">
      <c r="A17" s="241">
        <v>9</v>
      </c>
      <c r="B17" s="241"/>
      <c r="C17" s="241"/>
      <c r="D17" s="118">
        <v>16549</v>
      </c>
      <c r="F17" s="242" t="s">
        <v>105</v>
      </c>
      <c r="G17" s="242"/>
      <c r="I17" s="242" t="s">
        <v>95</v>
      </c>
      <c r="J17" s="242"/>
      <c r="K17" s="243">
        <v>44102</v>
      </c>
      <c r="L17" s="243"/>
      <c r="M17" s="244" t="s">
        <v>99</v>
      </c>
      <c r="N17" s="244"/>
      <c r="O17" s="119">
        <v>0</v>
      </c>
      <c r="Q17" s="119">
        <v>0</v>
      </c>
      <c r="S17" s="240">
        <v>1</v>
      </c>
      <c r="T17" s="240"/>
      <c r="W17" s="119">
        <v>0</v>
      </c>
      <c r="Y17" s="119">
        <v>1</v>
      </c>
    </row>
    <row r="18" spans="1:25" ht="15" customHeight="1">
      <c r="A18" s="241">
        <v>10</v>
      </c>
      <c r="B18" s="241"/>
      <c r="C18" s="241"/>
      <c r="D18" s="118">
        <v>6061</v>
      </c>
      <c r="F18" s="242" t="s">
        <v>106</v>
      </c>
      <c r="G18" s="242"/>
      <c r="I18" s="242" t="s">
        <v>95</v>
      </c>
      <c r="J18" s="242"/>
      <c r="K18" s="243">
        <v>44166</v>
      </c>
      <c r="L18" s="243"/>
      <c r="M18" s="244" t="s">
        <v>97</v>
      </c>
      <c r="N18" s="244"/>
      <c r="O18" s="119">
        <v>0</v>
      </c>
      <c r="Q18" s="119">
        <v>1</v>
      </c>
      <c r="S18" s="240">
        <v>0</v>
      </c>
      <c r="T18" s="240"/>
      <c r="W18" s="119">
        <v>0</v>
      </c>
      <c r="Y18" s="119">
        <v>1</v>
      </c>
    </row>
    <row r="19" spans="1:25" ht="15" customHeight="1">
      <c r="A19" s="241">
        <v>11</v>
      </c>
      <c r="B19" s="241"/>
      <c r="C19" s="241"/>
      <c r="D19" s="118">
        <v>3348</v>
      </c>
      <c r="F19" s="242" t="s">
        <v>107</v>
      </c>
      <c r="G19" s="242"/>
      <c r="I19" s="242" t="s">
        <v>95</v>
      </c>
      <c r="J19" s="242"/>
      <c r="K19" s="243">
        <v>43810</v>
      </c>
      <c r="L19" s="243"/>
      <c r="M19" s="244" t="s">
        <v>97</v>
      </c>
      <c r="N19" s="244"/>
      <c r="O19" s="119">
        <v>0</v>
      </c>
      <c r="Q19" s="119">
        <v>0</v>
      </c>
      <c r="S19" s="240">
        <v>1</v>
      </c>
      <c r="T19" s="240"/>
      <c r="W19" s="119">
        <v>0</v>
      </c>
      <c r="Y19" s="119">
        <v>1</v>
      </c>
    </row>
    <row r="20" spans="1:25" ht="15" customHeight="1">
      <c r="A20" s="241">
        <v>12</v>
      </c>
      <c r="B20" s="241"/>
      <c r="C20" s="241"/>
      <c r="D20" s="118">
        <v>4987</v>
      </c>
      <c r="F20" s="242" t="s">
        <v>108</v>
      </c>
      <c r="G20" s="242"/>
      <c r="I20" s="242" t="s">
        <v>95</v>
      </c>
      <c r="J20" s="242"/>
      <c r="K20" s="243">
        <v>43231</v>
      </c>
      <c r="L20" s="243"/>
      <c r="M20" s="244" t="s">
        <v>97</v>
      </c>
      <c r="N20" s="244"/>
      <c r="O20" s="119">
        <v>1</v>
      </c>
      <c r="Q20" s="119">
        <v>0</v>
      </c>
      <c r="S20" s="240">
        <v>0</v>
      </c>
      <c r="T20" s="240"/>
      <c r="W20" s="119">
        <v>0</v>
      </c>
      <c r="Y20" s="119">
        <v>1</v>
      </c>
    </row>
    <row r="21" spans="1:25" ht="15" customHeight="1">
      <c r="A21" s="241">
        <v>13</v>
      </c>
      <c r="B21" s="241"/>
      <c r="C21" s="241"/>
      <c r="D21" s="118">
        <v>5872</v>
      </c>
      <c r="F21" s="242" t="s">
        <v>109</v>
      </c>
      <c r="G21" s="242"/>
      <c r="I21" s="242" t="s">
        <v>95</v>
      </c>
      <c r="J21" s="242"/>
      <c r="K21" s="243">
        <v>43983</v>
      </c>
      <c r="L21" s="243"/>
      <c r="M21" s="244" t="s">
        <v>97</v>
      </c>
      <c r="N21" s="244"/>
      <c r="O21" s="119">
        <v>1</v>
      </c>
      <c r="Q21" s="119">
        <v>0</v>
      </c>
      <c r="S21" s="240">
        <v>0</v>
      </c>
      <c r="T21" s="240"/>
      <c r="W21" s="119">
        <v>0</v>
      </c>
      <c r="Y21" s="119">
        <v>1</v>
      </c>
    </row>
    <row r="22" spans="1:25" ht="15" customHeight="1">
      <c r="A22" s="241">
        <v>14</v>
      </c>
      <c r="B22" s="241"/>
      <c r="C22" s="241"/>
      <c r="D22" s="118">
        <v>5534</v>
      </c>
      <c r="F22" s="242" t="s">
        <v>110</v>
      </c>
      <c r="G22" s="242"/>
      <c r="I22" s="242" t="s">
        <v>95</v>
      </c>
      <c r="J22" s="242"/>
      <c r="K22" s="243">
        <v>43759</v>
      </c>
      <c r="L22" s="243"/>
      <c r="M22" s="244" t="s">
        <v>97</v>
      </c>
      <c r="N22" s="244"/>
      <c r="O22" s="119">
        <v>1</v>
      </c>
      <c r="Q22" s="119">
        <v>0</v>
      </c>
      <c r="S22" s="240">
        <v>0</v>
      </c>
      <c r="T22" s="240"/>
      <c r="W22" s="119">
        <v>0</v>
      </c>
      <c r="Y22" s="119">
        <v>1</v>
      </c>
    </row>
    <row r="23" spans="1:25" ht="15" customHeight="1">
      <c r="A23" s="241">
        <v>15</v>
      </c>
      <c r="B23" s="241"/>
      <c r="C23" s="241"/>
      <c r="D23" s="118">
        <v>5428</v>
      </c>
      <c r="F23" s="242" t="s">
        <v>111</v>
      </c>
      <c r="G23" s="242"/>
      <c r="I23" s="242" t="s">
        <v>95</v>
      </c>
      <c r="J23" s="242"/>
      <c r="K23" s="243">
        <v>43627</v>
      </c>
      <c r="L23" s="243"/>
      <c r="M23" s="244" t="s">
        <v>97</v>
      </c>
      <c r="N23" s="244"/>
      <c r="O23" s="119">
        <v>1</v>
      </c>
      <c r="Q23" s="119">
        <v>0</v>
      </c>
      <c r="S23" s="240">
        <v>0</v>
      </c>
      <c r="T23" s="240"/>
      <c r="W23" s="119">
        <v>0</v>
      </c>
      <c r="Y23" s="119">
        <v>1</v>
      </c>
    </row>
    <row r="24" spans="1:25" ht="15" customHeight="1">
      <c r="A24" s="241">
        <v>16</v>
      </c>
      <c r="B24" s="241"/>
      <c r="C24" s="241"/>
      <c r="D24" s="118">
        <v>3325</v>
      </c>
      <c r="F24" s="242" t="s">
        <v>112</v>
      </c>
      <c r="G24" s="242"/>
      <c r="I24" s="242" t="s">
        <v>95</v>
      </c>
      <c r="J24" s="242"/>
      <c r="K24" s="243">
        <v>43234</v>
      </c>
      <c r="L24" s="243"/>
      <c r="M24" s="244" t="s">
        <v>97</v>
      </c>
      <c r="N24" s="244"/>
      <c r="O24" s="119">
        <v>0</v>
      </c>
      <c r="Q24" s="119">
        <v>1</v>
      </c>
      <c r="S24" s="240">
        <v>0</v>
      </c>
      <c r="T24" s="240"/>
      <c r="W24" s="119">
        <v>0</v>
      </c>
      <c r="Y24" s="119">
        <v>1</v>
      </c>
    </row>
    <row r="25" spans="1:25" ht="15" customHeight="1">
      <c r="A25" s="241">
        <v>17</v>
      </c>
      <c r="B25" s="241"/>
      <c r="C25" s="241"/>
      <c r="D25" s="118">
        <v>16243</v>
      </c>
      <c r="F25" s="242" t="s">
        <v>113</v>
      </c>
      <c r="G25" s="242"/>
      <c r="I25" s="242" t="s">
        <v>95</v>
      </c>
      <c r="J25" s="242"/>
      <c r="K25" s="243">
        <v>43602</v>
      </c>
      <c r="L25" s="243"/>
      <c r="M25" s="244" t="s">
        <v>99</v>
      </c>
      <c r="N25" s="244"/>
      <c r="O25" s="119">
        <v>1</v>
      </c>
      <c r="Q25" s="119">
        <v>0</v>
      </c>
      <c r="S25" s="240">
        <v>0</v>
      </c>
      <c r="T25" s="240"/>
      <c r="W25" s="119">
        <v>0</v>
      </c>
      <c r="Y25" s="119">
        <v>1</v>
      </c>
    </row>
    <row r="26" spans="1:25" ht="15" customHeight="1">
      <c r="A26" s="241">
        <v>18</v>
      </c>
      <c r="B26" s="241"/>
      <c r="C26" s="241"/>
      <c r="D26" s="118">
        <v>16593</v>
      </c>
      <c r="F26" s="242" t="s">
        <v>114</v>
      </c>
      <c r="G26" s="242"/>
      <c r="I26" s="242" t="s">
        <v>95</v>
      </c>
      <c r="J26" s="242"/>
      <c r="K26" s="243">
        <v>44166</v>
      </c>
      <c r="L26" s="243"/>
      <c r="M26" s="244" t="s">
        <v>99</v>
      </c>
      <c r="N26" s="244"/>
      <c r="O26" s="119">
        <v>0</v>
      </c>
      <c r="Q26" s="119">
        <v>1</v>
      </c>
      <c r="S26" s="240">
        <v>0</v>
      </c>
      <c r="T26" s="240"/>
      <c r="W26" s="119">
        <v>0</v>
      </c>
      <c r="Y26" s="119">
        <v>1</v>
      </c>
    </row>
    <row r="27" spans="1:25" ht="15" customHeight="1">
      <c r="A27" s="241">
        <v>19</v>
      </c>
      <c r="B27" s="241"/>
      <c r="C27" s="241"/>
      <c r="D27" s="118">
        <v>3035</v>
      </c>
      <c r="F27" s="242" t="s">
        <v>115</v>
      </c>
      <c r="G27" s="242"/>
      <c r="I27" s="242" t="s">
        <v>95</v>
      </c>
      <c r="J27" s="242"/>
      <c r="K27" s="243">
        <v>41022</v>
      </c>
      <c r="L27" s="243"/>
      <c r="M27" s="244" t="s">
        <v>97</v>
      </c>
      <c r="N27" s="244"/>
      <c r="O27" s="119">
        <v>0</v>
      </c>
      <c r="Q27" s="119">
        <v>1</v>
      </c>
      <c r="S27" s="240">
        <v>0</v>
      </c>
      <c r="T27" s="240"/>
      <c r="W27" s="119">
        <v>0</v>
      </c>
      <c r="Y27" s="119">
        <v>1</v>
      </c>
    </row>
    <row r="28" spans="1:25" ht="15" customHeight="1">
      <c r="A28" s="241">
        <v>20</v>
      </c>
      <c r="B28" s="241"/>
      <c r="C28" s="241"/>
      <c r="D28" s="118">
        <v>16596</v>
      </c>
      <c r="F28" s="242" t="s">
        <v>116</v>
      </c>
      <c r="G28" s="242"/>
      <c r="I28" s="242" t="s">
        <v>95</v>
      </c>
      <c r="J28" s="242"/>
      <c r="K28" s="243">
        <v>44166</v>
      </c>
      <c r="L28" s="243"/>
      <c r="M28" s="244" t="s">
        <v>99</v>
      </c>
      <c r="N28" s="244"/>
      <c r="O28" s="119">
        <v>0</v>
      </c>
      <c r="Q28" s="119">
        <v>0</v>
      </c>
      <c r="S28" s="240">
        <v>1</v>
      </c>
      <c r="T28" s="240"/>
      <c r="W28" s="119">
        <v>0</v>
      </c>
      <c r="Y28" s="119">
        <v>1</v>
      </c>
    </row>
    <row r="29" spans="1:25" ht="15" customHeight="1">
      <c r="A29" s="241">
        <v>21</v>
      </c>
      <c r="B29" s="241"/>
      <c r="C29" s="241"/>
      <c r="D29" s="118">
        <v>16009</v>
      </c>
      <c r="F29" s="242" t="s">
        <v>117</v>
      </c>
      <c r="G29" s="242"/>
      <c r="I29" s="242" t="s">
        <v>95</v>
      </c>
      <c r="J29" s="242"/>
      <c r="K29" s="243">
        <v>43206</v>
      </c>
      <c r="L29" s="243"/>
      <c r="M29" s="244" t="s">
        <v>99</v>
      </c>
      <c r="N29" s="244"/>
      <c r="O29" s="119">
        <v>0</v>
      </c>
      <c r="Q29" s="119">
        <v>0</v>
      </c>
      <c r="S29" s="240">
        <v>1</v>
      </c>
      <c r="T29" s="240"/>
      <c r="W29" s="119">
        <v>0</v>
      </c>
      <c r="Y29" s="119">
        <v>1</v>
      </c>
    </row>
    <row r="30" spans="1:25" ht="15" customHeight="1">
      <c r="A30" s="241">
        <v>22</v>
      </c>
      <c r="B30" s="241"/>
      <c r="C30" s="241"/>
      <c r="D30" s="118">
        <v>6066</v>
      </c>
      <c r="F30" s="242" t="s">
        <v>118</v>
      </c>
      <c r="G30" s="242"/>
      <c r="I30" s="242" t="s">
        <v>95</v>
      </c>
      <c r="J30" s="242"/>
      <c r="K30" s="243">
        <v>44167</v>
      </c>
      <c r="L30" s="243"/>
      <c r="M30" s="244" t="s">
        <v>97</v>
      </c>
      <c r="N30" s="244"/>
      <c r="O30" s="119">
        <v>1</v>
      </c>
      <c r="Q30" s="119">
        <v>0</v>
      </c>
      <c r="S30" s="240">
        <v>0</v>
      </c>
      <c r="T30" s="240"/>
      <c r="W30" s="119">
        <v>0</v>
      </c>
      <c r="Y30" s="119">
        <v>1</v>
      </c>
    </row>
    <row r="31" spans="1:25" ht="15" customHeight="1">
      <c r="A31" s="241">
        <v>23</v>
      </c>
      <c r="B31" s="241"/>
      <c r="C31" s="241"/>
      <c r="D31" s="118">
        <v>3316</v>
      </c>
      <c r="F31" s="242" t="s">
        <v>119</v>
      </c>
      <c r="G31" s="242"/>
      <c r="I31" s="242" t="s">
        <v>95</v>
      </c>
      <c r="J31" s="242"/>
      <c r="K31" s="243">
        <v>43738</v>
      </c>
      <c r="L31" s="243"/>
      <c r="M31" s="244" t="s">
        <v>97</v>
      </c>
      <c r="N31" s="244"/>
      <c r="O31" s="119">
        <v>1</v>
      </c>
      <c r="Q31" s="119">
        <v>0</v>
      </c>
      <c r="S31" s="240">
        <v>0</v>
      </c>
      <c r="T31" s="240"/>
      <c r="W31" s="119">
        <v>0</v>
      </c>
      <c r="Y31" s="119">
        <v>1</v>
      </c>
    </row>
    <row r="32" spans="1:25" ht="15" customHeight="1">
      <c r="A32" s="241">
        <v>24</v>
      </c>
      <c r="B32" s="241"/>
      <c r="C32" s="241"/>
      <c r="D32" s="118">
        <v>6124</v>
      </c>
      <c r="F32" s="242" t="s">
        <v>120</v>
      </c>
      <c r="G32" s="242"/>
      <c r="I32" s="242" t="s">
        <v>95</v>
      </c>
      <c r="J32" s="242"/>
      <c r="K32" s="243">
        <v>44219</v>
      </c>
      <c r="L32" s="243"/>
      <c r="M32" s="244" t="s">
        <v>97</v>
      </c>
      <c r="N32" s="244"/>
      <c r="O32" s="119">
        <v>0</v>
      </c>
      <c r="Q32" s="119">
        <v>0</v>
      </c>
      <c r="S32" s="240">
        <v>1</v>
      </c>
      <c r="T32" s="240"/>
      <c r="W32" s="119">
        <v>0</v>
      </c>
      <c r="Y32" s="119">
        <v>1</v>
      </c>
    </row>
    <row r="33" spans="1:25" ht="15" customHeight="1">
      <c r="A33" s="241">
        <v>25</v>
      </c>
      <c r="B33" s="241"/>
      <c r="C33" s="241"/>
      <c r="D33" s="118">
        <v>3040</v>
      </c>
      <c r="F33" s="242" t="s">
        <v>121</v>
      </c>
      <c r="G33" s="242"/>
      <c r="I33" s="242" t="s">
        <v>95</v>
      </c>
      <c r="J33" s="242"/>
      <c r="K33" s="243">
        <v>41276</v>
      </c>
      <c r="L33" s="243"/>
      <c r="M33" s="244" t="s">
        <v>97</v>
      </c>
      <c r="N33" s="244"/>
      <c r="O33" s="119">
        <v>1</v>
      </c>
      <c r="Q33" s="119">
        <v>0</v>
      </c>
      <c r="S33" s="240">
        <v>0</v>
      </c>
      <c r="T33" s="240"/>
      <c r="W33" s="119">
        <v>0</v>
      </c>
      <c r="Y33" s="119">
        <v>1</v>
      </c>
    </row>
    <row r="34" spans="1:25" ht="15" customHeight="1">
      <c r="A34" s="241">
        <v>26</v>
      </c>
      <c r="B34" s="241"/>
      <c r="C34" s="241"/>
      <c r="D34" s="118">
        <v>16645</v>
      </c>
      <c r="F34" s="242" t="s">
        <v>122</v>
      </c>
      <c r="G34" s="242"/>
      <c r="I34" s="242" t="s">
        <v>95</v>
      </c>
      <c r="J34" s="242"/>
      <c r="K34" s="243">
        <v>44232</v>
      </c>
      <c r="L34" s="243"/>
      <c r="M34" s="244" t="s">
        <v>99</v>
      </c>
      <c r="N34" s="244"/>
      <c r="O34" s="119">
        <v>0</v>
      </c>
      <c r="Q34" s="119">
        <v>0</v>
      </c>
      <c r="S34" s="240">
        <v>1</v>
      </c>
      <c r="T34" s="240"/>
      <c r="W34" s="119">
        <v>0</v>
      </c>
      <c r="Y34" s="119">
        <v>1</v>
      </c>
    </row>
    <row r="35" spans="1:25" ht="15" customHeight="1">
      <c r="A35" s="241">
        <v>27</v>
      </c>
      <c r="B35" s="241"/>
      <c r="C35" s="241"/>
      <c r="D35" s="118">
        <v>3128</v>
      </c>
      <c r="F35" s="242" t="s">
        <v>123</v>
      </c>
      <c r="G35" s="242"/>
      <c r="I35" s="242" t="s">
        <v>95</v>
      </c>
      <c r="J35" s="242"/>
      <c r="K35" s="243">
        <v>42258</v>
      </c>
      <c r="L35" s="243"/>
      <c r="M35" s="244" t="s">
        <v>97</v>
      </c>
      <c r="N35" s="244"/>
      <c r="O35" s="119">
        <v>0</v>
      </c>
      <c r="Q35" s="119">
        <v>1</v>
      </c>
      <c r="S35" s="240">
        <v>0</v>
      </c>
      <c r="T35" s="240"/>
      <c r="W35" s="119">
        <v>0</v>
      </c>
      <c r="Y35" s="119">
        <v>1</v>
      </c>
    </row>
    <row r="36" spans="1:25" ht="15" customHeight="1">
      <c r="A36" s="241">
        <v>28</v>
      </c>
      <c r="B36" s="241"/>
      <c r="C36" s="241"/>
      <c r="D36" s="118">
        <v>16449</v>
      </c>
      <c r="F36" s="242" t="s">
        <v>124</v>
      </c>
      <c r="G36" s="242"/>
      <c r="I36" s="242" t="s">
        <v>95</v>
      </c>
      <c r="J36" s="242"/>
      <c r="K36" s="243">
        <v>43983</v>
      </c>
      <c r="L36" s="243"/>
      <c r="M36" s="244" t="s">
        <v>99</v>
      </c>
      <c r="N36" s="244"/>
      <c r="O36" s="119">
        <v>1</v>
      </c>
      <c r="Q36" s="119">
        <v>0</v>
      </c>
      <c r="S36" s="240">
        <v>0</v>
      </c>
      <c r="T36" s="240"/>
      <c r="W36" s="119">
        <v>0</v>
      </c>
      <c r="Y36" s="119">
        <v>1</v>
      </c>
    </row>
    <row r="37" spans="1:25" ht="15" customHeight="1">
      <c r="A37" s="241">
        <v>29</v>
      </c>
      <c r="B37" s="241"/>
      <c r="C37" s="241"/>
      <c r="D37" s="118">
        <v>10107</v>
      </c>
      <c r="F37" s="242" t="s">
        <v>125</v>
      </c>
      <c r="G37" s="242"/>
      <c r="I37" s="242" t="s">
        <v>95</v>
      </c>
      <c r="J37" s="242"/>
      <c r="K37" s="243">
        <v>42628</v>
      </c>
      <c r="L37" s="243"/>
      <c r="M37" s="244" t="s">
        <v>99</v>
      </c>
      <c r="N37" s="244"/>
      <c r="O37" s="119">
        <v>1</v>
      </c>
      <c r="Q37" s="119">
        <v>0</v>
      </c>
      <c r="S37" s="240">
        <v>0</v>
      </c>
      <c r="T37" s="240"/>
      <c r="W37" s="119">
        <v>0</v>
      </c>
      <c r="Y37" s="119">
        <v>1</v>
      </c>
    </row>
    <row r="38" spans="1:25" ht="15" customHeight="1">
      <c r="A38" s="241">
        <v>30</v>
      </c>
      <c r="B38" s="241"/>
      <c r="C38" s="241"/>
      <c r="D38" s="118">
        <v>16050</v>
      </c>
      <c r="F38" s="242" t="s">
        <v>126</v>
      </c>
      <c r="G38" s="242"/>
      <c r="I38" s="242" t="s">
        <v>95</v>
      </c>
      <c r="J38" s="242"/>
      <c r="K38" s="243">
        <v>43255</v>
      </c>
      <c r="L38" s="243"/>
      <c r="M38" s="244" t="s">
        <v>99</v>
      </c>
      <c r="N38" s="244"/>
      <c r="O38" s="119">
        <v>0</v>
      </c>
      <c r="Q38" s="119">
        <v>0</v>
      </c>
      <c r="S38" s="240">
        <v>1</v>
      </c>
      <c r="T38" s="240"/>
      <c r="W38" s="119">
        <v>0</v>
      </c>
      <c r="Y38" s="119">
        <v>1</v>
      </c>
    </row>
    <row r="39" spans="1:25" ht="15" customHeight="1">
      <c r="A39" s="241">
        <v>31</v>
      </c>
      <c r="B39" s="241"/>
      <c r="C39" s="241"/>
      <c r="D39" s="118">
        <v>5950</v>
      </c>
      <c r="F39" s="242" t="s">
        <v>127</v>
      </c>
      <c r="G39" s="242"/>
      <c r="I39" s="242" t="s">
        <v>95</v>
      </c>
      <c r="J39" s="242"/>
      <c r="K39" s="243">
        <v>44019</v>
      </c>
      <c r="L39" s="243"/>
      <c r="M39" s="244" t="s">
        <v>97</v>
      </c>
      <c r="N39" s="244"/>
      <c r="O39" s="119">
        <v>1</v>
      </c>
      <c r="Q39" s="119">
        <v>0</v>
      </c>
      <c r="S39" s="240">
        <v>0</v>
      </c>
      <c r="T39" s="240"/>
      <c r="W39" s="119">
        <v>0</v>
      </c>
      <c r="Y39" s="119">
        <v>1</v>
      </c>
    </row>
    <row r="40" spans="1:25" ht="15" customHeight="1">
      <c r="A40" s="241">
        <v>32</v>
      </c>
      <c r="B40" s="241"/>
      <c r="C40" s="241"/>
      <c r="D40" s="118">
        <v>5955</v>
      </c>
      <c r="F40" s="242" t="s">
        <v>128</v>
      </c>
      <c r="G40" s="242"/>
      <c r="I40" s="242" t="s">
        <v>95</v>
      </c>
      <c r="J40" s="242"/>
      <c r="K40" s="243">
        <v>44025</v>
      </c>
      <c r="L40" s="243"/>
      <c r="M40" s="244" t="s">
        <v>97</v>
      </c>
      <c r="N40" s="244"/>
      <c r="O40" s="119">
        <v>1</v>
      </c>
      <c r="Q40" s="119">
        <v>0</v>
      </c>
      <c r="S40" s="240">
        <v>0</v>
      </c>
      <c r="T40" s="240"/>
      <c r="W40" s="119">
        <v>0</v>
      </c>
      <c r="Y40" s="119">
        <v>1</v>
      </c>
    </row>
    <row r="41" spans="1:25" ht="15" customHeight="1"/>
    <row r="42" spans="1:25" ht="15" customHeight="1">
      <c r="N42" s="240">
        <v>16</v>
      </c>
      <c r="O42" s="240"/>
      <c r="P42" s="240">
        <v>7</v>
      </c>
      <c r="Q42" s="240"/>
      <c r="R42" s="240">
        <v>9</v>
      </c>
      <c r="S42" s="240"/>
      <c r="T42" s="240"/>
      <c r="V42" s="240">
        <v>0</v>
      </c>
      <c r="W42" s="240"/>
      <c r="X42" s="240">
        <v>32</v>
      </c>
      <c r="Y42" s="240"/>
    </row>
    <row r="43" spans="1:25" ht="15" customHeight="1">
      <c r="F43" s="245" t="s">
        <v>129</v>
      </c>
      <c r="G43" s="245"/>
      <c r="H43" s="245"/>
      <c r="I43" s="245"/>
    </row>
    <row r="44" spans="1:25" ht="15" customHeight="1">
      <c r="A44" s="241">
        <v>33</v>
      </c>
      <c r="B44" s="241"/>
      <c r="C44" s="241"/>
      <c r="D44" s="118">
        <v>3012</v>
      </c>
      <c r="F44" s="242" t="s">
        <v>130</v>
      </c>
      <c r="G44" s="242"/>
      <c r="I44" s="242" t="s">
        <v>129</v>
      </c>
      <c r="J44" s="242"/>
      <c r="K44" s="243">
        <v>36902</v>
      </c>
      <c r="L44" s="243"/>
      <c r="M44" s="244" t="s">
        <v>97</v>
      </c>
      <c r="N44" s="244"/>
      <c r="O44" s="119">
        <v>1</v>
      </c>
      <c r="Q44" s="119">
        <v>0</v>
      </c>
      <c r="S44" s="240">
        <v>0</v>
      </c>
      <c r="T44" s="240"/>
      <c r="W44" s="119">
        <v>0</v>
      </c>
      <c r="Y44" s="119">
        <v>1</v>
      </c>
    </row>
    <row r="45" spans="1:25" ht="15" customHeight="1">
      <c r="A45" s="241">
        <v>34</v>
      </c>
      <c r="B45" s="241"/>
      <c r="C45" s="241"/>
      <c r="D45" s="118">
        <v>3003</v>
      </c>
      <c r="F45" s="242" t="s">
        <v>131</v>
      </c>
      <c r="G45" s="242"/>
      <c r="I45" s="242" t="s">
        <v>129</v>
      </c>
      <c r="J45" s="242"/>
      <c r="K45" s="243">
        <v>34874</v>
      </c>
      <c r="L45" s="243"/>
      <c r="M45" s="244" t="s">
        <v>97</v>
      </c>
      <c r="N45" s="244"/>
      <c r="O45" s="119">
        <v>0</v>
      </c>
      <c r="Q45" s="119">
        <v>0</v>
      </c>
      <c r="S45" s="240">
        <v>1</v>
      </c>
      <c r="T45" s="240"/>
      <c r="W45" s="119">
        <v>0</v>
      </c>
      <c r="Y45" s="119">
        <v>1</v>
      </c>
    </row>
    <row r="46" spans="1:25" ht="15" customHeight="1"/>
    <row r="47" spans="1:25" ht="15" customHeight="1">
      <c r="N47" s="240">
        <v>1</v>
      </c>
      <c r="O47" s="240"/>
      <c r="P47" s="240">
        <v>0</v>
      </c>
      <c r="Q47" s="240"/>
      <c r="R47" s="240">
        <v>1</v>
      </c>
      <c r="S47" s="240"/>
      <c r="T47" s="240"/>
      <c r="V47" s="240">
        <v>0</v>
      </c>
      <c r="W47" s="240"/>
      <c r="X47" s="240">
        <v>2</v>
      </c>
      <c r="Y47" s="240"/>
    </row>
    <row r="48" spans="1:25" ht="15" customHeight="1">
      <c r="F48" s="245" t="s">
        <v>132</v>
      </c>
      <c r="G48" s="245"/>
      <c r="H48" s="245"/>
      <c r="I48" s="245"/>
    </row>
    <row r="49" spans="1:25" ht="15" customHeight="1">
      <c r="A49" s="241">
        <v>35</v>
      </c>
      <c r="B49" s="241"/>
      <c r="C49" s="241"/>
      <c r="D49" s="118">
        <v>15768</v>
      </c>
      <c r="F49" s="242" t="s">
        <v>133</v>
      </c>
      <c r="G49" s="242"/>
      <c r="I49" s="242" t="s">
        <v>132</v>
      </c>
      <c r="J49" s="242"/>
      <c r="K49" s="243">
        <v>42884</v>
      </c>
      <c r="L49" s="243"/>
      <c r="M49" s="244" t="s">
        <v>99</v>
      </c>
      <c r="N49" s="244"/>
      <c r="O49" s="119">
        <v>0</v>
      </c>
      <c r="Q49" s="119">
        <v>1</v>
      </c>
      <c r="S49" s="240">
        <v>0</v>
      </c>
      <c r="T49" s="240"/>
      <c r="W49" s="119">
        <v>0</v>
      </c>
      <c r="Y49" s="119">
        <v>1</v>
      </c>
    </row>
    <row r="50" spans="1:25" ht="15" customHeight="1">
      <c r="A50" s="241">
        <v>36</v>
      </c>
      <c r="B50" s="241"/>
      <c r="C50" s="241"/>
      <c r="D50" s="118">
        <v>16456</v>
      </c>
      <c r="F50" s="242" t="s">
        <v>134</v>
      </c>
      <c r="G50" s="242"/>
      <c r="I50" s="242" t="s">
        <v>132</v>
      </c>
      <c r="J50" s="242"/>
      <c r="K50" s="243">
        <v>43990</v>
      </c>
      <c r="L50" s="243"/>
      <c r="M50" s="244" t="s">
        <v>99</v>
      </c>
      <c r="N50" s="244"/>
      <c r="O50" s="119">
        <v>0</v>
      </c>
      <c r="Q50" s="119">
        <v>0</v>
      </c>
      <c r="S50" s="240">
        <v>1</v>
      </c>
      <c r="T50" s="240"/>
      <c r="W50" s="119">
        <v>0</v>
      </c>
      <c r="Y50" s="119">
        <v>1</v>
      </c>
    </row>
    <row r="51" spans="1:25" ht="15" customHeight="1">
      <c r="A51" s="241">
        <v>37</v>
      </c>
      <c r="B51" s="241"/>
      <c r="C51" s="241"/>
      <c r="D51" s="118">
        <v>16601</v>
      </c>
      <c r="F51" s="242" t="s">
        <v>135</v>
      </c>
      <c r="G51" s="242"/>
      <c r="I51" s="242" t="s">
        <v>132</v>
      </c>
      <c r="J51" s="242"/>
      <c r="K51" s="243">
        <v>44172</v>
      </c>
      <c r="L51" s="243"/>
      <c r="M51" s="244" t="s">
        <v>99</v>
      </c>
      <c r="N51" s="244"/>
      <c r="O51" s="119">
        <v>0</v>
      </c>
      <c r="Q51" s="119">
        <v>1</v>
      </c>
      <c r="S51" s="240">
        <v>0</v>
      </c>
      <c r="T51" s="240"/>
      <c r="W51" s="119">
        <v>0</v>
      </c>
      <c r="Y51" s="119">
        <v>1</v>
      </c>
    </row>
    <row r="52" spans="1:25" ht="15" customHeight="1">
      <c r="A52" s="241">
        <v>38</v>
      </c>
      <c r="B52" s="241"/>
      <c r="C52" s="241"/>
      <c r="D52" s="118">
        <v>16501</v>
      </c>
      <c r="F52" s="242" t="s">
        <v>136</v>
      </c>
      <c r="G52" s="242"/>
      <c r="I52" s="242" t="s">
        <v>132</v>
      </c>
      <c r="J52" s="242"/>
      <c r="K52" s="243">
        <v>44049</v>
      </c>
      <c r="L52" s="243"/>
      <c r="M52" s="244" t="s">
        <v>99</v>
      </c>
      <c r="N52" s="244"/>
      <c r="O52" s="119">
        <v>0</v>
      </c>
      <c r="Q52" s="119">
        <v>1</v>
      </c>
      <c r="S52" s="240">
        <v>0</v>
      </c>
      <c r="T52" s="240"/>
      <c r="W52" s="119">
        <v>0</v>
      </c>
      <c r="Y52" s="119">
        <v>1</v>
      </c>
    </row>
    <row r="53" spans="1:25" ht="15" customHeight="1"/>
    <row r="54" spans="1:25" ht="15" customHeight="1">
      <c r="N54" s="240">
        <v>0</v>
      </c>
      <c r="O54" s="240"/>
      <c r="P54" s="240">
        <v>3</v>
      </c>
      <c r="Q54" s="240"/>
      <c r="R54" s="240">
        <v>1</v>
      </c>
      <c r="S54" s="240"/>
      <c r="T54" s="240"/>
      <c r="V54" s="240">
        <v>0</v>
      </c>
      <c r="W54" s="240"/>
      <c r="X54" s="240">
        <v>4</v>
      </c>
      <c r="Y54" s="240"/>
    </row>
    <row r="55" spans="1:25" ht="15" customHeight="1">
      <c r="F55" s="245" t="s">
        <v>137</v>
      </c>
      <c r="G55" s="245"/>
      <c r="H55" s="245"/>
      <c r="I55" s="245"/>
    </row>
    <row r="56" spans="1:25" ht="15" customHeight="1">
      <c r="A56" s="241">
        <v>39</v>
      </c>
      <c r="B56" s="241"/>
      <c r="C56" s="241"/>
      <c r="D56" s="118">
        <v>10168</v>
      </c>
      <c r="F56" s="242" t="s">
        <v>138</v>
      </c>
      <c r="G56" s="242"/>
      <c r="I56" s="242" t="s">
        <v>137</v>
      </c>
      <c r="J56" s="242"/>
      <c r="K56" s="243">
        <v>43997</v>
      </c>
      <c r="L56" s="243"/>
      <c r="M56" s="244" t="s">
        <v>99</v>
      </c>
      <c r="N56" s="244"/>
      <c r="O56" s="119">
        <v>1</v>
      </c>
      <c r="Q56" s="119">
        <v>0</v>
      </c>
      <c r="S56" s="240">
        <v>0</v>
      </c>
      <c r="T56" s="240"/>
      <c r="W56" s="119">
        <v>0</v>
      </c>
      <c r="Y56" s="119">
        <v>1</v>
      </c>
    </row>
    <row r="57" spans="1:25" ht="15" customHeight="1">
      <c r="A57" s="241">
        <v>40</v>
      </c>
      <c r="B57" s="241"/>
      <c r="C57" s="241"/>
      <c r="D57" s="118">
        <v>16516</v>
      </c>
      <c r="F57" s="242" t="s">
        <v>139</v>
      </c>
      <c r="G57" s="242"/>
      <c r="I57" s="242" t="s">
        <v>137</v>
      </c>
      <c r="J57" s="242"/>
      <c r="K57" s="243">
        <v>44070</v>
      </c>
      <c r="L57" s="243"/>
      <c r="M57" s="244" t="s">
        <v>99</v>
      </c>
      <c r="N57" s="244"/>
      <c r="O57" s="119">
        <v>1</v>
      </c>
      <c r="Q57" s="119">
        <v>0</v>
      </c>
      <c r="S57" s="240">
        <v>0</v>
      </c>
      <c r="T57" s="240"/>
      <c r="W57" s="119">
        <v>0</v>
      </c>
      <c r="Y57" s="119">
        <v>1</v>
      </c>
    </row>
    <row r="58" spans="1:25" ht="15" customHeight="1">
      <c r="A58" s="241">
        <v>41</v>
      </c>
      <c r="B58" s="241"/>
      <c r="C58" s="241"/>
      <c r="D58" s="118">
        <v>6002</v>
      </c>
      <c r="F58" s="242" t="s">
        <v>140</v>
      </c>
      <c r="G58" s="242"/>
      <c r="I58" s="242" t="s">
        <v>137</v>
      </c>
      <c r="J58" s="242"/>
      <c r="K58" s="243">
        <v>44070</v>
      </c>
      <c r="L58" s="243"/>
      <c r="M58" s="244" t="s">
        <v>97</v>
      </c>
      <c r="N58" s="244"/>
      <c r="O58" s="119">
        <v>1</v>
      </c>
      <c r="Q58" s="119">
        <v>0</v>
      </c>
      <c r="S58" s="240">
        <v>0</v>
      </c>
      <c r="T58" s="240"/>
      <c r="W58" s="119">
        <v>0</v>
      </c>
      <c r="Y58" s="119">
        <v>1</v>
      </c>
    </row>
    <row r="59" spans="1:25" ht="15" customHeight="1">
      <c r="A59" s="241">
        <v>42</v>
      </c>
      <c r="B59" s="241"/>
      <c r="C59" s="241"/>
      <c r="D59" s="118">
        <v>3194</v>
      </c>
      <c r="F59" s="242" t="s">
        <v>141</v>
      </c>
      <c r="G59" s="242"/>
      <c r="I59" s="242" t="s">
        <v>137</v>
      </c>
      <c r="J59" s="242"/>
      <c r="K59" s="243">
        <v>41688</v>
      </c>
      <c r="L59" s="243"/>
      <c r="M59" s="244" t="s">
        <v>97</v>
      </c>
      <c r="N59" s="244"/>
      <c r="O59" s="119">
        <v>1</v>
      </c>
      <c r="Q59" s="119">
        <v>0</v>
      </c>
      <c r="S59" s="240">
        <v>0</v>
      </c>
      <c r="T59" s="240"/>
      <c r="W59" s="119">
        <v>0</v>
      </c>
      <c r="Y59" s="119">
        <v>1</v>
      </c>
    </row>
    <row r="60" spans="1:25" ht="15" customHeight="1">
      <c r="A60" s="241">
        <v>43</v>
      </c>
      <c r="B60" s="241"/>
      <c r="C60" s="241"/>
      <c r="D60" s="118">
        <v>16650</v>
      </c>
      <c r="F60" s="242" t="s">
        <v>142</v>
      </c>
      <c r="G60" s="242"/>
      <c r="I60" s="242" t="s">
        <v>137</v>
      </c>
      <c r="J60" s="242"/>
      <c r="K60" s="243">
        <v>44242</v>
      </c>
      <c r="L60" s="243"/>
      <c r="M60" s="244" t="s">
        <v>99</v>
      </c>
      <c r="N60" s="244"/>
      <c r="O60" s="119">
        <v>1</v>
      </c>
      <c r="Q60" s="119">
        <v>0</v>
      </c>
      <c r="S60" s="240">
        <v>0</v>
      </c>
      <c r="T60" s="240"/>
      <c r="W60" s="119">
        <v>0</v>
      </c>
      <c r="Y60" s="119">
        <v>1</v>
      </c>
    </row>
    <row r="61" spans="1:25" ht="15" customHeight="1">
      <c r="A61" s="241">
        <v>44</v>
      </c>
      <c r="B61" s="241"/>
      <c r="C61" s="241"/>
      <c r="D61" s="118">
        <v>16101</v>
      </c>
      <c r="F61" s="242" t="s">
        <v>143</v>
      </c>
      <c r="G61" s="242"/>
      <c r="I61" s="242" t="s">
        <v>137</v>
      </c>
      <c r="J61" s="242"/>
      <c r="K61" s="243">
        <v>43332</v>
      </c>
      <c r="L61" s="243"/>
      <c r="M61" s="244" t="s">
        <v>99</v>
      </c>
      <c r="N61" s="244"/>
      <c r="O61" s="119">
        <v>1</v>
      </c>
      <c r="Q61" s="119">
        <v>0</v>
      </c>
      <c r="S61" s="240">
        <v>0</v>
      </c>
      <c r="T61" s="240"/>
      <c r="W61" s="119">
        <v>0</v>
      </c>
      <c r="Y61" s="119">
        <v>1</v>
      </c>
    </row>
    <row r="62" spans="1:25" ht="15" customHeight="1">
      <c r="A62" s="241">
        <v>45</v>
      </c>
      <c r="B62" s="241"/>
      <c r="C62" s="241"/>
      <c r="D62" s="118">
        <v>16362</v>
      </c>
      <c r="F62" s="242" t="s">
        <v>144</v>
      </c>
      <c r="G62" s="242"/>
      <c r="I62" s="242" t="s">
        <v>137</v>
      </c>
      <c r="J62" s="242"/>
      <c r="K62" s="243">
        <v>43797</v>
      </c>
      <c r="L62" s="243"/>
      <c r="M62" s="244" t="s">
        <v>99</v>
      </c>
      <c r="N62" s="244"/>
      <c r="O62" s="119">
        <v>1</v>
      </c>
      <c r="Q62" s="119">
        <v>0</v>
      </c>
      <c r="S62" s="240">
        <v>0</v>
      </c>
      <c r="T62" s="240"/>
      <c r="W62" s="119">
        <v>0</v>
      </c>
      <c r="Y62" s="119">
        <v>1</v>
      </c>
    </row>
    <row r="63" spans="1:25" ht="15" customHeight="1">
      <c r="A63" s="241">
        <v>46</v>
      </c>
      <c r="B63" s="241"/>
      <c r="C63" s="241"/>
      <c r="D63" s="118">
        <v>16288</v>
      </c>
      <c r="F63" s="242" t="s">
        <v>145</v>
      </c>
      <c r="G63" s="242"/>
      <c r="I63" s="242" t="s">
        <v>137</v>
      </c>
      <c r="J63" s="242"/>
      <c r="K63" s="243">
        <v>43662</v>
      </c>
      <c r="L63" s="243"/>
      <c r="M63" s="244" t="s">
        <v>99</v>
      </c>
      <c r="N63" s="244"/>
      <c r="O63" s="119">
        <v>1</v>
      </c>
      <c r="Q63" s="119">
        <v>0</v>
      </c>
      <c r="S63" s="240">
        <v>0</v>
      </c>
      <c r="T63" s="240"/>
      <c r="W63" s="119">
        <v>0</v>
      </c>
      <c r="Y63" s="119">
        <v>1</v>
      </c>
    </row>
    <row r="64" spans="1:25" ht="15" customHeight="1">
      <c r="A64" s="241">
        <v>47</v>
      </c>
      <c r="B64" s="241"/>
      <c r="C64" s="241"/>
      <c r="D64" s="118">
        <v>3250</v>
      </c>
      <c r="F64" s="242" t="s">
        <v>146</v>
      </c>
      <c r="G64" s="242"/>
      <c r="I64" s="242" t="s">
        <v>137</v>
      </c>
      <c r="J64" s="242"/>
      <c r="K64" s="243">
        <v>42818</v>
      </c>
      <c r="L64" s="243"/>
      <c r="M64" s="244" t="s">
        <v>97</v>
      </c>
      <c r="N64" s="244"/>
      <c r="O64" s="119">
        <v>1</v>
      </c>
      <c r="Q64" s="119">
        <v>0</v>
      </c>
      <c r="S64" s="240">
        <v>0</v>
      </c>
      <c r="T64" s="240"/>
      <c r="W64" s="119">
        <v>0</v>
      </c>
      <c r="Y64" s="119">
        <v>1</v>
      </c>
    </row>
    <row r="65" spans="1:25" ht="15" customHeight="1"/>
    <row r="66" spans="1:25" ht="15" customHeight="1">
      <c r="N66" s="240">
        <v>9</v>
      </c>
      <c r="O66" s="240"/>
      <c r="P66" s="240">
        <v>0</v>
      </c>
      <c r="Q66" s="240"/>
      <c r="R66" s="240">
        <v>0</v>
      </c>
      <c r="S66" s="240"/>
      <c r="T66" s="240"/>
      <c r="V66" s="240">
        <v>0</v>
      </c>
      <c r="W66" s="240"/>
      <c r="X66" s="240">
        <v>9</v>
      </c>
      <c r="Y66" s="240"/>
    </row>
    <row r="67" spans="1:25" ht="15" customHeight="1">
      <c r="F67" s="245" t="s">
        <v>147</v>
      </c>
      <c r="G67" s="245"/>
      <c r="H67" s="245"/>
      <c r="I67" s="245"/>
    </row>
    <row r="68" spans="1:25" ht="15" customHeight="1">
      <c r="A68" s="241">
        <v>48</v>
      </c>
      <c r="B68" s="241"/>
      <c r="C68" s="241"/>
      <c r="D68" s="118">
        <v>5435</v>
      </c>
      <c r="F68" s="242" t="s">
        <v>148</v>
      </c>
      <c r="G68" s="242"/>
      <c r="I68" s="242" t="s">
        <v>147</v>
      </c>
      <c r="J68" s="242"/>
      <c r="K68" s="243">
        <v>43633</v>
      </c>
      <c r="L68" s="243"/>
      <c r="M68" s="244" t="s">
        <v>97</v>
      </c>
      <c r="N68" s="244"/>
      <c r="O68" s="119">
        <v>1</v>
      </c>
      <c r="Q68" s="119">
        <v>0</v>
      </c>
      <c r="S68" s="240">
        <v>0</v>
      </c>
      <c r="T68" s="240"/>
      <c r="W68" s="119">
        <v>0</v>
      </c>
      <c r="Y68" s="119">
        <v>1</v>
      </c>
    </row>
    <row r="69" spans="1:25" ht="15" customHeight="1">
      <c r="A69" s="241">
        <v>49</v>
      </c>
      <c r="B69" s="241"/>
      <c r="C69" s="241"/>
      <c r="D69" s="118">
        <v>16520</v>
      </c>
      <c r="F69" s="242" t="s">
        <v>149</v>
      </c>
      <c r="G69" s="242"/>
      <c r="I69" s="242" t="s">
        <v>147</v>
      </c>
      <c r="J69" s="242"/>
      <c r="K69" s="243">
        <v>44076</v>
      </c>
      <c r="L69" s="243"/>
      <c r="M69" s="244" t="s">
        <v>99</v>
      </c>
      <c r="N69" s="244"/>
      <c r="O69" s="119">
        <v>0</v>
      </c>
      <c r="Q69" s="119">
        <v>0</v>
      </c>
      <c r="S69" s="240">
        <v>1</v>
      </c>
      <c r="T69" s="240"/>
      <c r="W69" s="119">
        <v>0</v>
      </c>
      <c r="Y69" s="119">
        <v>1</v>
      </c>
    </row>
    <row r="70" spans="1:25" ht="15" customHeight="1">
      <c r="A70" s="241">
        <v>50</v>
      </c>
      <c r="B70" s="241"/>
      <c r="C70" s="241"/>
      <c r="D70" s="118">
        <v>16502</v>
      </c>
      <c r="F70" s="242" t="s">
        <v>150</v>
      </c>
      <c r="G70" s="242"/>
      <c r="I70" s="242" t="s">
        <v>147</v>
      </c>
      <c r="J70" s="242"/>
      <c r="K70" s="243">
        <v>44049</v>
      </c>
      <c r="L70" s="243"/>
      <c r="M70" s="244" t="s">
        <v>99</v>
      </c>
      <c r="N70" s="244"/>
      <c r="O70" s="119">
        <v>0</v>
      </c>
      <c r="Q70" s="119">
        <v>0</v>
      </c>
      <c r="S70" s="240">
        <v>1</v>
      </c>
      <c r="T70" s="240"/>
      <c r="W70" s="119">
        <v>0</v>
      </c>
      <c r="Y70" s="119">
        <v>1</v>
      </c>
    </row>
    <row r="71" spans="1:25" ht="15" customHeight="1">
      <c r="A71" s="241">
        <v>51</v>
      </c>
      <c r="B71" s="241"/>
      <c r="C71" s="241"/>
      <c r="D71" s="118">
        <v>16410</v>
      </c>
      <c r="F71" s="242" t="s">
        <v>151</v>
      </c>
      <c r="G71" s="242"/>
      <c r="I71" s="242" t="s">
        <v>147</v>
      </c>
      <c r="J71" s="242"/>
      <c r="K71" s="243">
        <v>43887</v>
      </c>
      <c r="L71" s="243"/>
      <c r="M71" s="244" t="s">
        <v>99</v>
      </c>
      <c r="N71" s="244"/>
      <c r="O71" s="119">
        <v>0</v>
      </c>
      <c r="Q71" s="119">
        <v>0</v>
      </c>
      <c r="S71" s="240">
        <v>1</v>
      </c>
      <c r="T71" s="240"/>
      <c r="W71" s="119">
        <v>0</v>
      </c>
      <c r="Y71" s="119">
        <v>1</v>
      </c>
    </row>
    <row r="72" spans="1:25" ht="15" customHeight="1">
      <c r="A72" s="241">
        <v>52</v>
      </c>
      <c r="B72" s="241"/>
      <c r="C72" s="241"/>
      <c r="D72" s="118">
        <v>16574</v>
      </c>
      <c r="F72" s="242" t="s">
        <v>152</v>
      </c>
      <c r="G72" s="242"/>
      <c r="I72" s="242" t="s">
        <v>147</v>
      </c>
      <c r="J72" s="242"/>
      <c r="K72" s="243">
        <v>44152</v>
      </c>
      <c r="L72" s="243"/>
      <c r="M72" s="244" t="s">
        <v>99</v>
      </c>
      <c r="N72" s="244"/>
      <c r="O72" s="119">
        <v>0</v>
      </c>
      <c r="Q72" s="119">
        <v>0</v>
      </c>
      <c r="S72" s="240">
        <v>1</v>
      </c>
      <c r="T72" s="240"/>
      <c r="W72" s="119">
        <v>0</v>
      </c>
      <c r="Y72" s="119">
        <v>1</v>
      </c>
    </row>
    <row r="73" spans="1:25" ht="15" customHeight="1">
      <c r="A73" s="241">
        <v>53</v>
      </c>
      <c r="B73" s="241"/>
      <c r="C73" s="241"/>
      <c r="D73" s="118">
        <v>6215</v>
      </c>
      <c r="F73" s="242" t="s">
        <v>153</v>
      </c>
      <c r="G73" s="242"/>
      <c r="I73" s="242" t="s">
        <v>147</v>
      </c>
      <c r="J73" s="242"/>
      <c r="K73" s="243">
        <v>44279</v>
      </c>
      <c r="L73" s="243"/>
      <c r="M73" s="244" t="s">
        <v>97</v>
      </c>
      <c r="N73" s="244"/>
      <c r="O73" s="119">
        <v>0</v>
      </c>
      <c r="Q73" s="119">
        <v>1</v>
      </c>
      <c r="S73" s="240">
        <v>0</v>
      </c>
      <c r="T73" s="240"/>
      <c r="W73" s="119">
        <v>0</v>
      </c>
      <c r="Y73" s="119">
        <v>1</v>
      </c>
    </row>
    <row r="74" spans="1:25" ht="15" customHeight="1">
      <c r="A74" s="241">
        <v>54</v>
      </c>
      <c r="B74" s="241"/>
      <c r="C74" s="241"/>
      <c r="D74" s="118">
        <v>15279</v>
      </c>
      <c r="F74" s="242" t="s">
        <v>154</v>
      </c>
      <c r="G74" s="242"/>
      <c r="I74" s="242" t="s">
        <v>147</v>
      </c>
      <c r="J74" s="242"/>
      <c r="K74" s="243">
        <v>42284</v>
      </c>
      <c r="L74" s="243"/>
      <c r="M74" s="244" t="s">
        <v>99</v>
      </c>
      <c r="N74" s="244"/>
      <c r="O74" s="119">
        <v>0</v>
      </c>
      <c r="Q74" s="119">
        <v>0</v>
      </c>
      <c r="S74" s="240">
        <v>1</v>
      </c>
      <c r="T74" s="240"/>
      <c r="W74" s="119">
        <v>0</v>
      </c>
      <c r="Y74" s="119">
        <v>1</v>
      </c>
    </row>
    <row r="75" spans="1:25" ht="15" customHeight="1">
      <c r="A75" s="241">
        <v>55</v>
      </c>
      <c r="B75" s="241"/>
      <c r="C75" s="241"/>
      <c r="D75" s="118">
        <v>16672</v>
      </c>
      <c r="F75" s="242" t="s">
        <v>155</v>
      </c>
      <c r="G75" s="242"/>
      <c r="I75" s="242" t="s">
        <v>147</v>
      </c>
      <c r="J75" s="242"/>
      <c r="K75" s="243">
        <v>44278</v>
      </c>
      <c r="L75" s="243"/>
      <c r="M75" s="244" t="s">
        <v>99</v>
      </c>
      <c r="N75" s="244"/>
      <c r="O75" s="119">
        <v>0</v>
      </c>
      <c r="Q75" s="119">
        <v>0</v>
      </c>
      <c r="S75" s="240">
        <v>1</v>
      </c>
      <c r="T75" s="240"/>
      <c r="W75" s="119">
        <v>0</v>
      </c>
      <c r="Y75" s="119">
        <v>1</v>
      </c>
    </row>
    <row r="76" spans="1:25" ht="15" customHeight="1">
      <c r="A76" s="241">
        <v>56</v>
      </c>
      <c r="B76" s="241"/>
      <c r="C76" s="241"/>
      <c r="D76" s="118">
        <v>16367</v>
      </c>
      <c r="F76" s="242" t="s">
        <v>156</v>
      </c>
      <c r="G76" s="242"/>
      <c r="I76" s="242" t="s">
        <v>147</v>
      </c>
      <c r="J76" s="242"/>
      <c r="K76" s="243">
        <v>43803</v>
      </c>
      <c r="L76" s="243"/>
      <c r="M76" s="244" t="s">
        <v>99</v>
      </c>
      <c r="N76" s="244"/>
      <c r="O76" s="119">
        <v>0</v>
      </c>
      <c r="Q76" s="119">
        <v>1</v>
      </c>
      <c r="S76" s="240">
        <v>0</v>
      </c>
      <c r="T76" s="240"/>
      <c r="W76" s="119">
        <v>0</v>
      </c>
      <c r="Y76" s="119">
        <v>1</v>
      </c>
    </row>
    <row r="77" spans="1:25" ht="15" customHeight="1">
      <c r="A77" s="241">
        <v>57</v>
      </c>
      <c r="B77" s="241"/>
      <c r="C77" s="241"/>
      <c r="D77" s="118">
        <v>5555</v>
      </c>
      <c r="F77" s="242" t="s">
        <v>157</v>
      </c>
      <c r="G77" s="242"/>
      <c r="I77" s="242" t="s">
        <v>147</v>
      </c>
      <c r="J77" s="242"/>
      <c r="K77" s="243">
        <v>43773</v>
      </c>
      <c r="L77" s="243"/>
      <c r="M77" s="244" t="s">
        <v>97</v>
      </c>
      <c r="N77" s="244"/>
      <c r="O77" s="119">
        <v>1</v>
      </c>
      <c r="Q77" s="119">
        <v>0</v>
      </c>
      <c r="S77" s="240">
        <v>0</v>
      </c>
      <c r="T77" s="240"/>
      <c r="W77" s="119">
        <v>0</v>
      </c>
      <c r="Y77" s="119">
        <v>1</v>
      </c>
    </row>
    <row r="78" spans="1:25" ht="15" customHeight="1"/>
    <row r="79" spans="1:25" ht="15" customHeight="1">
      <c r="N79" s="240">
        <v>2</v>
      </c>
      <c r="O79" s="240"/>
      <c r="P79" s="240">
        <v>2</v>
      </c>
      <c r="Q79" s="240"/>
      <c r="R79" s="240">
        <v>6</v>
      </c>
      <c r="S79" s="240"/>
      <c r="T79" s="240"/>
      <c r="V79" s="240">
        <v>0</v>
      </c>
      <c r="W79" s="240"/>
      <c r="X79" s="240">
        <v>10</v>
      </c>
      <c r="Y79" s="240"/>
    </row>
    <row r="80" spans="1:25" ht="15" customHeight="1">
      <c r="F80" s="245" t="s">
        <v>158</v>
      </c>
      <c r="G80" s="245"/>
      <c r="H80" s="245"/>
      <c r="I80" s="245"/>
    </row>
    <row r="81" spans="1:25" ht="15" customHeight="1">
      <c r="A81" s="241">
        <v>58</v>
      </c>
      <c r="B81" s="241"/>
      <c r="C81" s="241"/>
      <c r="D81" s="118">
        <v>6129</v>
      </c>
      <c r="F81" s="242" t="s">
        <v>159</v>
      </c>
      <c r="G81" s="242"/>
      <c r="I81" s="242" t="s">
        <v>158</v>
      </c>
      <c r="J81" s="242"/>
      <c r="K81" s="243">
        <v>44221</v>
      </c>
      <c r="L81" s="243"/>
      <c r="M81" s="244" t="s">
        <v>97</v>
      </c>
      <c r="N81" s="244"/>
      <c r="O81" s="119">
        <v>0</v>
      </c>
      <c r="Q81" s="119">
        <v>1</v>
      </c>
      <c r="S81" s="240">
        <v>0</v>
      </c>
      <c r="T81" s="240"/>
      <c r="W81" s="119">
        <v>0</v>
      </c>
      <c r="Y81" s="119">
        <v>1</v>
      </c>
    </row>
    <row r="82" spans="1:25" ht="15" customHeight="1">
      <c r="A82" s="241">
        <v>59</v>
      </c>
      <c r="B82" s="241"/>
      <c r="C82" s="241"/>
      <c r="D82" s="118">
        <v>5155</v>
      </c>
      <c r="F82" s="242" t="s">
        <v>160</v>
      </c>
      <c r="G82" s="242"/>
      <c r="I82" s="242" t="s">
        <v>158</v>
      </c>
      <c r="J82" s="242"/>
      <c r="K82" s="243">
        <v>43467</v>
      </c>
      <c r="L82" s="243"/>
      <c r="M82" s="244" t="s">
        <v>97</v>
      </c>
      <c r="N82" s="244"/>
      <c r="O82" s="119">
        <v>0</v>
      </c>
      <c r="Q82" s="119">
        <v>1</v>
      </c>
      <c r="S82" s="240">
        <v>0</v>
      </c>
      <c r="T82" s="240"/>
      <c r="W82" s="119">
        <v>0</v>
      </c>
      <c r="Y82" s="119">
        <v>1</v>
      </c>
    </row>
    <row r="83" spans="1:25" ht="15" customHeight="1">
      <c r="A83" s="241">
        <v>60</v>
      </c>
      <c r="B83" s="241"/>
      <c r="C83" s="241"/>
      <c r="D83" s="118">
        <v>5454</v>
      </c>
      <c r="F83" s="242" t="s">
        <v>161</v>
      </c>
      <c r="G83" s="242"/>
      <c r="I83" s="242" t="s">
        <v>158</v>
      </c>
      <c r="J83" s="242"/>
      <c r="K83" s="243">
        <v>41588</v>
      </c>
      <c r="L83" s="243"/>
      <c r="M83" s="244" t="s">
        <v>97</v>
      </c>
      <c r="N83" s="244"/>
      <c r="O83" s="119">
        <v>1</v>
      </c>
      <c r="Q83" s="119">
        <v>0</v>
      </c>
      <c r="S83" s="240">
        <v>0</v>
      </c>
      <c r="T83" s="240"/>
      <c r="W83" s="119">
        <v>0</v>
      </c>
      <c r="Y83" s="119">
        <v>1</v>
      </c>
    </row>
    <row r="84" spans="1:25" ht="15" customHeight="1">
      <c r="A84" s="241">
        <v>61</v>
      </c>
      <c r="B84" s="241"/>
      <c r="C84" s="241"/>
      <c r="D84" s="118">
        <v>3189</v>
      </c>
      <c r="F84" s="242" t="s">
        <v>162</v>
      </c>
      <c r="G84" s="242"/>
      <c r="I84" s="242" t="s">
        <v>158</v>
      </c>
      <c r="J84" s="242"/>
      <c r="K84" s="243">
        <v>41588</v>
      </c>
      <c r="L84" s="243"/>
      <c r="M84" s="244" t="s">
        <v>97</v>
      </c>
      <c r="N84" s="244"/>
      <c r="O84" s="119">
        <v>1</v>
      </c>
      <c r="Q84" s="119">
        <v>0</v>
      </c>
      <c r="S84" s="240">
        <v>0</v>
      </c>
      <c r="T84" s="240"/>
      <c r="W84" s="119">
        <v>0</v>
      </c>
      <c r="Y84" s="119">
        <v>1</v>
      </c>
    </row>
    <row r="85" spans="1:25" ht="15" customHeight="1">
      <c r="A85" s="241">
        <v>62</v>
      </c>
      <c r="B85" s="241"/>
      <c r="C85" s="241"/>
      <c r="D85" s="118">
        <v>3332</v>
      </c>
      <c r="F85" s="242" t="s">
        <v>163</v>
      </c>
      <c r="G85" s="242"/>
      <c r="I85" s="242" t="s">
        <v>158</v>
      </c>
      <c r="J85" s="242"/>
      <c r="K85" s="243">
        <v>43257</v>
      </c>
      <c r="L85" s="243"/>
      <c r="M85" s="244" t="s">
        <v>97</v>
      </c>
      <c r="N85" s="244"/>
      <c r="O85" s="119">
        <v>0</v>
      </c>
      <c r="Q85" s="119">
        <v>1</v>
      </c>
      <c r="S85" s="240">
        <v>0</v>
      </c>
      <c r="T85" s="240"/>
      <c r="W85" s="119">
        <v>0</v>
      </c>
      <c r="Y85" s="119">
        <v>1</v>
      </c>
    </row>
    <row r="86" spans="1:25" ht="15" customHeight="1"/>
    <row r="87" spans="1:25" ht="15" customHeight="1">
      <c r="N87" s="240">
        <v>2</v>
      </c>
      <c r="O87" s="240"/>
      <c r="P87" s="240">
        <v>3</v>
      </c>
      <c r="Q87" s="240"/>
      <c r="R87" s="240">
        <v>0</v>
      </c>
      <c r="S87" s="240"/>
      <c r="T87" s="240"/>
      <c r="V87" s="240">
        <v>0</v>
      </c>
      <c r="W87" s="240"/>
      <c r="X87" s="240">
        <v>5</v>
      </c>
      <c r="Y87" s="240"/>
    </row>
    <row r="88" spans="1:25" ht="15" customHeight="1">
      <c r="F88" s="245" t="s">
        <v>164</v>
      </c>
      <c r="G88" s="245"/>
      <c r="H88" s="245"/>
      <c r="I88" s="245"/>
    </row>
    <row r="89" spans="1:25" ht="15" customHeight="1">
      <c r="A89" s="241">
        <v>63</v>
      </c>
      <c r="B89" s="241"/>
      <c r="C89" s="241"/>
      <c r="D89" s="118">
        <v>3066</v>
      </c>
      <c r="F89" s="242" t="s">
        <v>165</v>
      </c>
      <c r="G89" s="242"/>
      <c r="I89" s="242" t="s">
        <v>164</v>
      </c>
      <c r="J89" s="242"/>
      <c r="K89" s="243">
        <v>41983</v>
      </c>
      <c r="L89" s="243"/>
      <c r="M89" s="244" t="s">
        <v>97</v>
      </c>
      <c r="N89" s="244"/>
      <c r="O89" s="119">
        <v>1</v>
      </c>
      <c r="Q89" s="119">
        <v>0</v>
      </c>
      <c r="S89" s="240">
        <v>0</v>
      </c>
      <c r="T89" s="240"/>
      <c r="W89" s="119">
        <v>0</v>
      </c>
      <c r="Y89" s="119">
        <v>1</v>
      </c>
    </row>
    <row r="90" spans="1:25" ht="15" customHeight="1">
      <c r="A90" s="241">
        <v>64</v>
      </c>
      <c r="B90" s="241"/>
      <c r="C90" s="241"/>
      <c r="D90" s="118">
        <v>3023</v>
      </c>
      <c r="F90" s="242" t="s">
        <v>166</v>
      </c>
      <c r="G90" s="242"/>
      <c r="I90" s="242" t="s">
        <v>164</v>
      </c>
      <c r="J90" s="242"/>
      <c r="K90" s="243">
        <v>39286</v>
      </c>
      <c r="L90" s="243"/>
      <c r="M90" s="244" t="s">
        <v>97</v>
      </c>
      <c r="N90" s="244"/>
      <c r="O90" s="119">
        <v>0</v>
      </c>
      <c r="Q90" s="119">
        <v>1</v>
      </c>
      <c r="S90" s="240">
        <v>0</v>
      </c>
      <c r="T90" s="240"/>
      <c r="W90" s="119">
        <v>0</v>
      </c>
      <c r="Y90" s="119">
        <v>1</v>
      </c>
    </row>
    <row r="91" spans="1:25" ht="15" customHeight="1">
      <c r="A91" s="241">
        <v>65</v>
      </c>
      <c r="B91" s="241"/>
      <c r="C91" s="241"/>
      <c r="D91" s="118">
        <v>3065</v>
      </c>
      <c r="F91" s="242" t="s">
        <v>167</v>
      </c>
      <c r="G91" s="242"/>
      <c r="I91" s="242" t="s">
        <v>164</v>
      </c>
      <c r="J91" s="242"/>
      <c r="K91" s="243">
        <v>40849</v>
      </c>
      <c r="L91" s="243"/>
      <c r="M91" s="244" t="s">
        <v>97</v>
      </c>
      <c r="N91" s="244"/>
      <c r="O91" s="119">
        <v>1</v>
      </c>
      <c r="Q91" s="119">
        <v>0</v>
      </c>
      <c r="S91" s="240">
        <v>0</v>
      </c>
      <c r="T91" s="240"/>
      <c r="W91" s="119">
        <v>0</v>
      </c>
      <c r="Y91" s="119">
        <v>1</v>
      </c>
    </row>
    <row r="92" spans="1:25" ht="15" customHeight="1">
      <c r="A92" s="241">
        <v>66</v>
      </c>
      <c r="B92" s="241"/>
      <c r="C92" s="241"/>
      <c r="D92" s="118">
        <v>3026</v>
      </c>
      <c r="F92" s="242" t="s">
        <v>168</v>
      </c>
      <c r="G92" s="242"/>
      <c r="I92" s="242" t="s">
        <v>164</v>
      </c>
      <c r="J92" s="242"/>
      <c r="K92" s="243">
        <v>40108</v>
      </c>
      <c r="L92" s="243"/>
      <c r="M92" s="244" t="s">
        <v>97</v>
      </c>
      <c r="N92" s="244"/>
      <c r="O92" s="119">
        <v>1</v>
      </c>
      <c r="Q92" s="119">
        <v>0</v>
      </c>
      <c r="S92" s="240">
        <v>0</v>
      </c>
      <c r="T92" s="240"/>
      <c r="W92" s="119">
        <v>0</v>
      </c>
      <c r="Y92" s="119">
        <v>1</v>
      </c>
    </row>
    <row r="93" spans="1:25" ht="15" customHeight="1">
      <c r="A93" s="241">
        <v>67</v>
      </c>
      <c r="B93" s="241"/>
      <c r="C93" s="241"/>
      <c r="D93" s="118">
        <v>3017</v>
      </c>
      <c r="F93" s="242" t="s">
        <v>169</v>
      </c>
      <c r="G93" s="242"/>
      <c r="I93" s="242" t="s">
        <v>164</v>
      </c>
      <c r="J93" s="242"/>
      <c r="K93" s="243">
        <v>38439</v>
      </c>
      <c r="L93" s="243"/>
      <c r="M93" s="244" t="s">
        <v>97</v>
      </c>
      <c r="N93" s="244"/>
      <c r="O93" s="119">
        <v>0</v>
      </c>
      <c r="Q93" s="119">
        <v>0</v>
      </c>
      <c r="S93" s="240">
        <v>1</v>
      </c>
      <c r="T93" s="240"/>
      <c r="W93" s="119">
        <v>0</v>
      </c>
      <c r="Y93" s="119">
        <v>1</v>
      </c>
    </row>
    <row r="94" spans="1:25" ht="15" customHeight="1">
      <c r="A94" s="241">
        <v>68</v>
      </c>
      <c r="B94" s="241"/>
      <c r="C94" s="241"/>
      <c r="D94" s="118">
        <v>5476</v>
      </c>
      <c r="F94" s="242" t="s">
        <v>170</v>
      </c>
      <c r="G94" s="242"/>
      <c r="I94" s="242" t="s">
        <v>164</v>
      </c>
      <c r="J94" s="242"/>
      <c r="K94" s="243">
        <v>43662</v>
      </c>
      <c r="L94" s="243"/>
      <c r="M94" s="244" t="s">
        <v>97</v>
      </c>
      <c r="N94" s="244"/>
      <c r="O94" s="119">
        <v>1</v>
      </c>
      <c r="Q94" s="119">
        <v>0</v>
      </c>
      <c r="S94" s="240">
        <v>0</v>
      </c>
      <c r="T94" s="240"/>
      <c r="W94" s="119">
        <v>0</v>
      </c>
      <c r="Y94" s="119">
        <v>1</v>
      </c>
    </row>
    <row r="95" spans="1:25" ht="15" customHeight="1">
      <c r="A95" s="241">
        <v>69</v>
      </c>
      <c r="B95" s="241"/>
      <c r="C95" s="241"/>
      <c r="D95" s="118">
        <v>3226</v>
      </c>
      <c r="F95" s="242" t="s">
        <v>171</v>
      </c>
      <c r="G95" s="242"/>
      <c r="I95" s="242" t="s">
        <v>164</v>
      </c>
      <c r="J95" s="242"/>
      <c r="K95" s="243">
        <v>42433</v>
      </c>
      <c r="L95" s="243"/>
      <c r="M95" s="244" t="s">
        <v>97</v>
      </c>
      <c r="N95" s="244"/>
      <c r="O95" s="119">
        <v>1</v>
      </c>
      <c r="Q95" s="119">
        <v>0</v>
      </c>
      <c r="S95" s="240">
        <v>0</v>
      </c>
      <c r="T95" s="240"/>
      <c r="W95" s="119">
        <v>0</v>
      </c>
      <c r="Y95" s="119">
        <v>1</v>
      </c>
    </row>
    <row r="96" spans="1:25" ht="15" customHeight="1">
      <c r="A96" s="241">
        <v>70</v>
      </c>
      <c r="B96" s="241"/>
      <c r="C96" s="241"/>
      <c r="D96" s="118">
        <v>5109</v>
      </c>
      <c r="F96" s="242" t="s">
        <v>172</v>
      </c>
      <c r="G96" s="242"/>
      <c r="I96" s="242" t="s">
        <v>164</v>
      </c>
      <c r="J96" s="242"/>
      <c r="K96" s="243">
        <v>43423</v>
      </c>
      <c r="L96" s="243"/>
      <c r="M96" s="244" t="s">
        <v>97</v>
      </c>
      <c r="N96" s="244"/>
      <c r="O96" s="119">
        <v>1</v>
      </c>
      <c r="Q96" s="119">
        <v>0</v>
      </c>
      <c r="S96" s="240">
        <v>0</v>
      </c>
      <c r="T96" s="240"/>
      <c r="W96" s="119">
        <v>0</v>
      </c>
      <c r="Y96" s="119">
        <v>1</v>
      </c>
    </row>
    <row r="97" spans="1:25" ht="15" customHeight="1">
      <c r="A97" s="241">
        <v>71</v>
      </c>
      <c r="B97" s="241"/>
      <c r="C97" s="241"/>
      <c r="D97" s="118">
        <v>6155</v>
      </c>
      <c r="F97" s="242" t="s">
        <v>173</v>
      </c>
      <c r="G97" s="242"/>
      <c r="I97" s="242" t="s">
        <v>164</v>
      </c>
      <c r="J97" s="242"/>
      <c r="K97" s="243">
        <v>44240</v>
      </c>
      <c r="L97" s="243"/>
      <c r="M97" s="244" t="s">
        <v>97</v>
      </c>
      <c r="N97" s="244"/>
      <c r="O97" s="119">
        <v>1</v>
      </c>
      <c r="Q97" s="119">
        <v>0</v>
      </c>
      <c r="S97" s="240">
        <v>0</v>
      </c>
      <c r="T97" s="240"/>
      <c r="W97" s="119">
        <v>0</v>
      </c>
      <c r="Y97" s="119">
        <v>1</v>
      </c>
    </row>
    <row r="98" spans="1:25" ht="15" customHeight="1"/>
    <row r="99" spans="1:25" ht="15" customHeight="1">
      <c r="N99" s="240">
        <v>7</v>
      </c>
      <c r="O99" s="240"/>
      <c r="P99" s="240">
        <v>1</v>
      </c>
      <c r="Q99" s="240"/>
      <c r="R99" s="240">
        <v>1</v>
      </c>
      <c r="S99" s="240"/>
      <c r="T99" s="240"/>
      <c r="V99" s="240">
        <v>0</v>
      </c>
      <c r="W99" s="240"/>
      <c r="X99" s="240">
        <v>9</v>
      </c>
      <c r="Y99" s="240"/>
    </row>
    <row r="100" spans="1:25" ht="15" customHeight="1">
      <c r="F100" s="245" t="s">
        <v>174</v>
      </c>
      <c r="G100" s="245"/>
      <c r="H100" s="245"/>
      <c r="I100" s="245"/>
    </row>
    <row r="101" spans="1:25" ht="15" customHeight="1">
      <c r="A101" s="241">
        <v>72</v>
      </c>
      <c r="B101" s="241"/>
      <c r="C101" s="241"/>
      <c r="D101" s="118">
        <v>16585</v>
      </c>
      <c r="F101" s="242" t="s">
        <v>175</v>
      </c>
      <c r="G101" s="242"/>
      <c r="I101" s="242" t="s">
        <v>174</v>
      </c>
      <c r="J101" s="242"/>
      <c r="K101" s="243">
        <v>44158</v>
      </c>
      <c r="L101" s="243"/>
      <c r="M101" s="244" t="s">
        <v>99</v>
      </c>
      <c r="N101" s="244"/>
      <c r="O101" s="119">
        <v>1</v>
      </c>
      <c r="Q101" s="119">
        <v>0</v>
      </c>
      <c r="S101" s="240">
        <v>0</v>
      </c>
      <c r="T101" s="240"/>
      <c r="W101" s="119">
        <v>0</v>
      </c>
      <c r="Y101" s="119">
        <v>1</v>
      </c>
    </row>
    <row r="102" spans="1:25" ht="15" customHeight="1">
      <c r="A102" s="241">
        <v>73</v>
      </c>
      <c r="B102" s="241"/>
      <c r="C102" s="241"/>
      <c r="D102" s="118">
        <v>5291</v>
      </c>
      <c r="F102" s="242" t="s">
        <v>176</v>
      </c>
      <c r="G102" s="242"/>
      <c r="I102" s="242" t="s">
        <v>174</v>
      </c>
      <c r="J102" s="242"/>
      <c r="K102" s="243">
        <v>43516</v>
      </c>
      <c r="L102" s="243"/>
      <c r="M102" s="244" t="s">
        <v>97</v>
      </c>
      <c r="N102" s="244"/>
      <c r="O102" s="119">
        <v>0</v>
      </c>
      <c r="Q102" s="119">
        <v>1</v>
      </c>
      <c r="S102" s="240">
        <v>0</v>
      </c>
      <c r="T102" s="240"/>
      <c r="W102" s="119">
        <v>0</v>
      </c>
      <c r="Y102" s="119">
        <v>1</v>
      </c>
    </row>
    <row r="103" spans="1:25" ht="15" customHeight="1">
      <c r="A103" s="241">
        <v>74</v>
      </c>
      <c r="B103" s="241"/>
      <c r="C103" s="241"/>
      <c r="D103" s="118">
        <v>16675</v>
      </c>
      <c r="F103" s="242" t="s">
        <v>177</v>
      </c>
      <c r="G103" s="242"/>
      <c r="I103" s="242" t="s">
        <v>174</v>
      </c>
      <c r="J103" s="242"/>
      <c r="K103" s="243">
        <v>44281</v>
      </c>
      <c r="L103" s="243"/>
      <c r="M103" s="244" t="s">
        <v>99</v>
      </c>
      <c r="N103" s="244"/>
      <c r="O103" s="119">
        <v>0</v>
      </c>
      <c r="Q103" s="119">
        <v>0</v>
      </c>
      <c r="S103" s="240">
        <v>1</v>
      </c>
      <c r="T103" s="240"/>
      <c r="W103" s="119">
        <v>0</v>
      </c>
      <c r="Y103" s="119">
        <v>1</v>
      </c>
    </row>
    <row r="104" spans="1:25" ht="15" customHeight="1">
      <c r="A104" s="241">
        <v>75</v>
      </c>
      <c r="B104" s="241"/>
      <c r="C104" s="241"/>
      <c r="D104" s="118">
        <v>16447</v>
      </c>
      <c r="F104" s="242" t="s">
        <v>178</v>
      </c>
      <c r="G104" s="242"/>
      <c r="I104" s="242" t="s">
        <v>174</v>
      </c>
      <c r="J104" s="242"/>
      <c r="K104" s="243">
        <v>43979</v>
      </c>
      <c r="L104" s="243"/>
      <c r="M104" s="244" t="s">
        <v>99</v>
      </c>
      <c r="N104" s="244"/>
      <c r="O104" s="119">
        <v>0</v>
      </c>
      <c r="Q104" s="119">
        <v>1</v>
      </c>
      <c r="S104" s="240">
        <v>0</v>
      </c>
      <c r="T104" s="240"/>
      <c r="W104" s="119">
        <v>0</v>
      </c>
      <c r="Y104" s="119">
        <v>1</v>
      </c>
    </row>
    <row r="105" spans="1:25" ht="15" customHeight="1">
      <c r="A105" s="241">
        <v>76</v>
      </c>
      <c r="B105" s="241"/>
      <c r="C105" s="241"/>
      <c r="D105" s="118">
        <v>5144</v>
      </c>
      <c r="F105" s="242" t="s">
        <v>179</v>
      </c>
      <c r="G105" s="242"/>
      <c r="I105" s="242" t="s">
        <v>174</v>
      </c>
      <c r="J105" s="242"/>
      <c r="K105" s="243">
        <v>43457</v>
      </c>
      <c r="L105" s="243"/>
      <c r="M105" s="244" t="s">
        <v>97</v>
      </c>
      <c r="N105" s="244"/>
      <c r="O105" s="119">
        <v>1</v>
      </c>
      <c r="Q105" s="119">
        <v>0</v>
      </c>
      <c r="S105" s="240">
        <v>0</v>
      </c>
      <c r="T105" s="240"/>
      <c r="W105" s="119">
        <v>0</v>
      </c>
      <c r="Y105" s="119">
        <v>1</v>
      </c>
    </row>
    <row r="106" spans="1:25" ht="15" customHeight="1">
      <c r="A106" s="241">
        <v>77</v>
      </c>
      <c r="B106" s="241"/>
      <c r="C106" s="241"/>
      <c r="D106" s="118">
        <v>16258</v>
      </c>
      <c r="F106" s="242" t="s">
        <v>180</v>
      </c>
      <c r="G106" s="242"/>
      <c r="I106" s="242" t="s">
        <v>174</v>
      </c>
      <c r="J106" s="242"/>
      <c r="K106" s="243">
        <v>43620</v>
      </c>
      <c r="L106" s="243"/>
      <c r="M106" s="244" t="s">
        <v>99</v>
      </c>
      <c r="N106" s="244"/>
      <c r="O106" s="119">
        <v>0</v>
      </c>
      <c r="Q106" s="119">
        <v>0</v>
      </c>
      <c r="S106" s="240">
        <v>1</v>
      </c>
      <c r="T106" s="240"/>
      <c r="W106" s="119">
        <v>0</v>
      </c>
      <c r="Y106" s="119">
        <v>1</v>
      </c>
    </row>
    <row r="107" spans="1:25" ht="15" customHeight="1"/>
    <row r="108" spans="1:25" ht="15" customHeight="1">
      <c r="N108" s="240">
        <v>2</v>
      </c>
      <c r="O108" s="240"/>
      <c r="P108" s="240">
        <v>2</v>
      </c>
      <c r="Q108" s="240"/>
      <c r="R108" s="240">
        <v>2</v>
      </c>
      <c r="S108" s="240"/>
      <c r="T108" s="240"/>
      <c r="V108" s="240">
        <v>0</v>
      </c>
      <c r="W108" s="240"/>
      <c r="X108" s="240">
        <v>6</v>
      </c>
      <c r="Y108" s="240"/>
    </row>
    <row r="109" spans="1:25" ht="15" customHeight="1">
      <c r="F109" s="245" t="s">
        <v>24</v>
      </c>
      <c r="G109" s="245"/>
      <c r="H109" s="245"/>
      <c r="I109" s="245"/>
    </row>
    <row r="110" spans="1:25" ht="15" customHeight="1">
      <c r="A110" s="241">
        <v>78</v>
      </c>
      <c r="B110" s="241"/>
      <c r="C110" s="241"/>
      <c r="D110" s="118">
        <v>3008</v>
      </c>
      <c r="F110" s="242" t="s">
        <v>181</v>
      </c>
      <c r="G110" s="242"/>
      <c r="I110" s="242" t="s">
        <v>24</v>
      </c>
      <c r="J110" s="242"/>
      <c r="K110" s="243">
        <v>35226</v>
      </c>
      <c r="L110" s="243"/>
      <c r="M110" s="244" t="s">
        <v>97</v>
      </c>
      <c r="N110" s="244"/>
      <c r="O110" s="119">
        <v>1</v>
      </c>
      <c r="Q110" s="119">
        <v>0</v>
      </c>
      <c r="S110" s="240">
        <v>0</v>
      </c>
      <c r="T110" s="240"/>
      <c r="W110" s="119">
        <v>0</v>
      </c>
      <c r="Y110" s="119">
        <v>1</v>
      </c>
    </row>
    <row r="111" spans="1:25" ht="15" customHeight="1">
      <c r="A111" s="241">
        <v>79</v>
      </c>
      <c r="B111" s="241"/>
      <c r="C111" s="241"/>
      <c r="D111" s="118">
        <v>3010</v>
      </c>
      <c r="F111" s="242" t="s">
        <v>182</v>
      </c>
      <c r="G111" s="242"/>
      <c r="I111" s="242" t="s">
        <v>24</v>
      </c>
      <c r="J111" s="242"/>
      <c r="K111" s="243">
        <v>35615</v>
      </c>
      <c r="L111" s="243"/>
      <c r="M111" s="244" t="s">
        <v>97</v>
      </c>
      <c r="N111" s="244"/>
      <c r="O111" s="119">
        <v>1</v>
      </c>
      <c r="Q111" s="119">
        <v>0</v>
      </c>
      <c r="S111" s="240">
        <v>0</v>
      </c>
      <c r="T111" s="240"/>
      <c r="W111" s="119">
        <v>0</v>
      </c>
      <c r="Y111" s="119">
        <v>1</v>
      </c>
    </row>
    <row r="112" spans="1:25" ht="15" customHeight="1">
      <c r="A112" s="241">
        <v>80</v>
      </c>
      <c r="B112" s="241"/>
      <c r="C112" s="241"/>
      <c r="D112" s="118">
        <v>3005</v>
      </c>
      <c r="F112" s="242" t="s">
        <v>183</v>
      </c>
      <c r="G112" s="242"/>
      <c r="I112" s="242" t="s">
        <v>24</v>
      </c>
      <c r="J112" s="242"/>
      <c r="K112" s="243">
        <v>35140</v>
      </c>
      <c r="L112" s="243"/>
      <c r="M112" s="244" t="s">
        <v>97</v>
      </c>
      <c r="N112" s="244"/>
      <c r="O112" s="119">
        <v>1</v>
      </c>
      <c r="Q112" s="119">
        <v>0</v>
      </c>
      <c r="S112" s="240">
        <v>0</v>
      </c>
      <c r="T112" s="240"/>
      <c r="W112" s="119">
        <v>0</v>
      </c>
      <c r="Y112" s="119">
        <v>1</v>
      </c>
    </row>
    <row r="113" spans="1:25" ht="15" customHeight="1">
      <c r="A113" s="241">
        <v>81</v>
      </c>
      <c r="B113" s="241"/>
      <c r="C113" s="241"/>
      <c r="D113" s="118">
        <v>3015</v>
      </c>
      <c r="F113" s="242" t="s">
        <v>184</v>
      </c>
      <c r="G113" s="242"/>
      <c r="I113" s="242" t="s">
        <v>24</v>
      </c>
      <c r="J113" s="242"/>
      <c r="K113" s="243">
        <v>37657</v>
      </c>
      <c r="L113" s="243"/>
      <c r="M113" s="244" t="s">
        <v>97</v>
      </c>
      <c r="N113" s="244"/>
      <c r="O113" s="119">
        <v>1</v>
      </c>
      <c r="Q113" s="119">
        <v>0</v>
      </c>
      <c r="S113" s="240">
        <v>0</v>
      </c>
      <c r="T113" s="240"/>
      <c r="W113" s="119">
        <v>0</v>
      </c>
      <c r="Y113" s="119">
        <v>1</v>
      </c>
    </row>
    <row r="114" spans="1:25" ht="15" customHeight="1"/>
    <row r="115" spans="1:25" ht="15" customHeight="1">
      <c r="N115" s="240">
        <v>4</v>
      </c>
      <c r="O115" s="240"/>
      <c r="P115" s="240">
        <v>0</v>
      </c>
      <c r="Q115" s="240"/>
      <c r="R115" s="240">
        <v>0</v>
      </c>
      <c r="S115" s="240"/>
      <c r="T115" s="240"/>
      <c r="V115" s="240">
        <v>0</v>
      </c>
      <c r="W115" s="240"/>
      <c r="X115" s="240">
        <v>4</v>
      </c>
      <c r="Y115" s="240"/>
    </row>
    <row r="116" spans="1:25" ht="15" customHeight="1">
      <c r="F116" s="245" t="s">
        <v>25</v>
      </c>
      <c r="G116" s="245"/>
      <c r="H116" s="245"/>
      <c r="I116" s="245"/>
    </row>
    <row r="117" spans="1:25" ht="15" customHeight="1">
      <c r="A117" s="241">
        <v>82</v>
      </c>
      <c r="B117" s="241"/>
      <c r="C117" s="241"/>
      <c r="D117" s="118">
        <v>6229</v>
      </c>
      <c r="F117" s="242" t="s">
        <v>185</v>
      </c>
      <c r="G117" s="242"/>
      <c r="I117" s="242" t="s">
        <v>25</v>
      </c>
      <c r="J117" s="242"/>
      <c r="K117" s="243">
        <v>44291</v>
      </c>
      <c r="L117" s="243"/>
      <c r="M117" s="244" t="s">
        <v>97</v>
      </c>
      <c r="N117" s="244"/>
      <c r="O117" s="119">
        <v>1</v>
      </c>
      <c r="Q117" s="119">
        <v>0</v>
      </c>
      <c r="S117" s="240">
        <v>0</v>
      </c>
      <c r="T117" s="240"/>
      <c r="W117" s="119">
        <v>0</v>
      </c>
      <c r="Y117" s="119">
        <v>1</v>
      </c>
    </row>
    <row r="118" spans="1:25" ht="15" customHeight="1">
      <c r="A118" s="241">
        <v>83</v>
      </c>
      <c r="B118" s="241"/>
      <c r="C118" s="241"/>
      <c r="D118" s="118">
        <v>6098</v>
      </c>
      <c r="F118" s="242" t="s">
        <v>186</v>
      </c>
      <c r="G118" s="242"/>
      <c r="I118" s="242" t="s">
        <v>25</v>
      </c>
      <c r="J118" s="242"/>
      <c r="K118" s="243">
        <v>44193</v>
      </c>
      <c r="L118" s="243"/>
      <c r="M118" s="244" t="s">
        <v>97</v>
      </c>
      <c r="N118" s="244"/>
      <c r="O118" s="119">
        <v>1</v>
      </c>
      <c r="Q118" s="119">
        <v>0</v>
      </c>
      <c r="S118" s="240">
        <v>0</v>
      </c>
      <c r="T118" s="240"/>
      <c r="W118" s="119">
        <v>0</v>
      </c>
      <c r="Y118" s="119">
        <v>1</v>
      </c>
    </row>
    <row r="119" spans="1:25" ht="15" customHeight="1">
      <c r="A119" s="241">
        <v>84</v>
      </c>
      <c r="B119" s="241"/>
      <c r="C119" s="241"/>
      <c r="D119" s="118">
        <v>3290</v>
      </c>
      <c r="F119" s="242" t="s">
        <v>187</v>
      </c>
      <c r="G119" s="242"/>
      <c r="I119" s="242" t="s">
        <v>25</v>
      </c>
      <c r="J119" s="242"/>
      <c r="K119" s="243">
        <v>43152</v>
      </c>
      <c r="L119" s="243"/>
      <c r="M119" s="244" t="s">
        <v>97</v>
      </c>
      <c r="N119" s="244"/>
      <c r="O119" s="119">
        <v>0</v>
      </c>
      <c r="Q119" s="119">
        <v>0</v>
      </c>
      <c r="S119" s="240">
        <v>1</v>
      </c>
      <c r="T119" s="240"/>
      <c r="W119" s="119">
        <v>0</v>
      </c>
      <c r="Y119" s="119">
        <v>1</v>
      </c>
    </row>
    <row r="120" spans="1:25" ht="15" customHeight="1">
      <c r="A120" s="241">
        <v>85</v>
      </c>
      <c r="B120" s="241"/>
      <c r="C120" s="241"/>
      <c r="D120" s="118">
        <v>3068</v>
      </c>
      <c r="F120" s="242" t="s">
        <v>188</v>
      </c>
      <c r="G120" s="242"/>
      <c r="I120" s="242" t="s">
        <v>25</v>
      </c>
      <c r="J120" s="242"/>
      <c r="K120" s="243">
        <v>41340</v>
      </c>
      <c r="L120" s="243"/>
      <c r="M120" s="244" t="s">
        <v>97</v>
      </c>
      <c r="N120" s="244"/>
      <c r="O120" s="119">
        <v>1</v>
      </c>
      <c r="Q120" s="119">
        <v>0</v>
      </c>
      <c r="S120" s="240">
        <v>0</v>
      </c>
      <c r="T120" s="240"/>
      <c r="W120" s="119">
        <v>0</v>
      </c>
      <c r="Y120" s="119">
        <v>1</v>
      </c>
    </row>
    <row r="121" spans="1:25" ht="15" customHeight="1">
      <c r="A121" s="241">
        <v>86</v>
      </c>
      <c r="B121" s="241"/>
      <c r="C121" s="241"/>
      <c r="D121" s="118">
        <v>6136</v>
      </c>
      <c r="F121" s="242" t="s">
        <v>189</v>
      </c>
      <c r="G121" s="242"/>
      <c r="I121" s="242" t="s">
        <v>25</v>
      </c>
      <c r="J121" s="242"/>
      <c r="K121" s="243">
        <v>44228</v>
      </c>
      <c r="L121" s="243"/>
      <c r="M121" s="244" t="s">
        <v>97</v>
      </c>
      <c r="N121" s="244"/>
      <c r="O121" s="119">
        <v>1</v>
      </c>
      <c r="Q121" s="119">
        <v>0</v>
      </c>
      <c r="S121" s="240">
        <v>0</v>
      </c>
      <c r="T121" s="240"/>
      <c r="W121" s="119">
        <v>0</v>
      </c>
      <c r="Y121" s="119">
        <v>1</v>
      </c>
    </row>
    <row r="122" spans="1:25" ht="15" customHeight="1">
      <c r="A122" s="241">
        <v>87</v>
      </c>
      <c r="B122" s="241"/>
      <c r="C122" s="241"/>
      <c r="D122" s="118">
        <v>5118</v>
      </c>
      <c r="F122" s="242" t="s">
        <v>190</v>
      </c>
      <c r="G122" s="242"/>
      <c r="I122" s="242" t="s">
        <v>25</v>
      </c>
      <c r="J122" s="242"/>
      <c r="K122" s="243">
        <v>43426</v>
      </c>
      <c r="L122" s="243"/>
      <c r="M122" s="244" t="s">
        <v>97</v>
      </c>
      <c r="N122" s="244"/>
      <c r="O122" s="119">
        <v>1</v>
      </c>
      <c r="Q122" s="119">
        <v>0</v>
      </c>
      <c r="S122" s="240">
        <v>0</v>
      </c>
      <c r="T122" s="240"/>
      <c r="W122" s="119">
        <v>0</v>
      </c>
      <c r="Y122" s="119">
        <v>1</v>
      </c>
    </row>
    <row r="123" spans="1:25" ht="15" customHeight="1">
      <c r="A123" s="241">
        <v>88</v>
      </c>
      <c r="B123" s="241"/>
      <c r="C123" s="241"/>
      <c r="D123" s="118">
        <v>3107</v>
      </c>
      <c r="F123" s="242" t="s">
        <v>191</v>
      </c>
      <c r="G123" s="242"/>
      <c r="I123" s="242" t="s">
        <v>25</v>
      </c>
      <c r="J123" s="242"/>
      <c r="K123" s="243">
        <v>42611</v>
      </c>
      <c r="L123" s="243"/>
      <c r="M123" s="244" t="s">
        <v>97</v>
      </c>
      <c r="N123" s="244"/>
      <c r="O123" s="119">
        <v>1</v>
      </c>
      <c r="Q123" s="119">
        <v>0</v>
      </c>
      <c r="S123" s="240">
        <v>0</v>
      </c>
      <c r="T123" s="240"/>
      <c r="W123" s="119">
        <v>0</v>
      </c>
      <c r="Y123" s="119">
        <v>1</v>
      </c>
    </row>
    <row r="124" spans="1:25" ht="15" customHeight="1">
      <c r="A124" s="241">
        <v>89</v>
      </c>
      <c r="B124" s="241"/>
      <c r="C124" s="241"/>
      <c r="D124" s="118">
        <v>3213</v>
      </c>
      <c r="F124" s="242" t="s">
        <v>192</v>
      </c>
      <c r="G124" s="242"/>
      <c r="I124" s="242" t="s">
        <v>25</v>
      </c>
      <c r="J124" s="242"/>
      <c r="K124" s="243">
        <v>42525</v>
      </c>
      <c r="L124" s="243"/>
      <c r="M124" s="244" t="s">
        <v>97</v>
      </c>
      <c r="N124" s="244"/>
      <c r="O124" s="119">
        <v>1</v>
      </c>
      <c r="Q124" s="119">
        <v>0</v>
      </c>
      <c r="S124" s="240">
        <v>0</v>
      </c>
      <c r="T124" s="240"/>
      <c r="W124" s="119">
        <v>0</v>
      </c>
      <c r="Y124" s="119">
        <v>1</v>
      </c>
    </row>
    <row r="125" spans="1:25" ht="15" customHeight="1">
      <c r="A125" s="241">
        <v>90</v>
      </c>
      <c r="B125" s="241"/>
      <c r="C125" s="241"/>
      <c r="D125" s="118">
        <v>3212</v>
      </c>
      <c r="F125" s="242" t="s">
        <v>193</v>
      </c>
      <c r="G125" s="242"/>
      <c r="I125" s="242" t="s">
        <v>25</v>
      </c>
      <c r="J125" s="242"/>
      <c r="K125" s="243">
        <v>41487</v>
      </c>
      <c r="L125" s="243"/>
      <c r="M125" s="244" t="s">
        <v>97</v>
      </c>
      <c r="N125" s="244"/>
      <c r="O125" s="119">
        <v>1</v>
      </c>
      <c r="Q125" s="119">
        <v>0</v>
      </c>
      <c r="S125" s="240">
        <v>0</v>
      </c>
      <c r="T125" s="240"/>
      <c r="W125" s="119">
        <v>0</v>
      </c>
      <c r="Y125" s="119">
        <v>1</v>
      </c>
    </row>
    <row r="126" spans="1:25" ht="15" customHeight="1">
      <c r="A126" s="241">
        <v>91</v>
      </c>
      <c r="B126" s="241"/>
      <c r="C126" s="241"/>
      <c r="D126" s="118">
        <v>3060</v>
      </c>
      <c r="F126" s="242" t="s">
        <v>194</v>
      </c>
      <c r="G126" s="242"/>
      <c r="I126" s="242" t="s">
        <v>25</v>
      </c>
      <c r="J126" s="242"/>
      <c r="K126" s="243">
        <v>40495</v>
      </c>
      <c r="L126" s="243"/>
      <c r="M126" s="244" t="s">
        <v>97</v>
      </c>
      <c r="N126" s="244"/>
      <c r="O126" s="119">
        <v>1</v>
      </c>
      <c r="Q126" s="119">
        <v>0</v>
      </c>
      <c r="S126" s="240">
        <v>0</v>
      </c>
      <c r="T126" s="240"/>
      <c r="W126" s="119">
        <v>0</v>
      </c>
      <c r="Y126" s="119">
        <v>1</v>
      </c>
    </row>
    <row r="127" spans="1:25" ht="15" customHeight="1">
      <c r="A127" s="241">
        <v>92</v>
      </c>
      <c r="B127" s="241"/>
      <c r="C127" s="241"/>
      <c r="D127" s="118">
        <v>3267</v>
      </c>
      <c r="F127" s="242" t="s">
        <v>195</v>
      </c>
      <c r="G127" s="242"/>
      <c r="I127" s="242" t="s">
        <v>25</v>
      </c>
      <c r="J127" s="242"/>
      <c r="K127" s="243">
        <v>43252</v>
      </c>
      <c r="L127" s="243"/>
      <c r="M127" s="244" t="s">
        <v>97</v>
      </c>
      <c r="N127" s="244"/>
      <c r="O127" s="119">
        <v>1</v>
      </c>
      <c r="Q127" s="119">
        <v>0</v>
      </c>
      <c r="S127" s="240">
        <v>0</v>
      </c>
      <c r="T127" s="240"/>
      <c r="W127" s="119">
        <v>0</v>
      </c>
      <c r="Y127" s="119">
        <v>1</v>
      </c>
    </row>
    <row r="128" spans="1:25" ht="15" customHeight="1">
      <c r="A128" s="241">
        <v>93</v>
      </c>
      <c r="B128" s="241"/>
      <c r="C128" s="241"/>
      <c r="D128" s="118">
        <v>3229</v>
      </c>
      <c r="F128" s="242" t="s">
        <v>196</v>
      </c>
      <c r="G128" s="242"/>
      <c r="I128" s="242" t="s">
        <v>25</v>
      </c>
      <c r="J128" s="242"/>
      <c r="K128" s="243">
        <v>42938</v>
      </c>
      <c r="L128" s="243"/>
      <c r="M128" s="244" t="s">
        <v>97</v>
      </c>
      <c r="N128" s="244"/>
      <c r="O128" s="119">
        <v>1</v>
      </c>
      <c r="Q128" s="119">
        <v>0</v>
      </c>
      <c r="S128" s="240">
        <v>0</v>
      </c>
      <c r="T128" s="240"/>
      <c r="W128" s="119">
        <v>0</v>
      </c>
      <c r="Y128" s="119">
        <v>1</v>
      </c>
    </row>
    <row r="129" spans="1:25" ht="15" customHeight="1">
      <c r="A129" s="241">
        <v>94</v>
      </c>
      <c r="B129" s="241"/>
      <c r="C129" s="241"/>
      <c r="D129" s="118">
        <v>5883</v>
      </c>
      <c r="F129" s="242" t="s">
        <v>197</v>
      </c>
      <c r="G129" s="242"/>
      <c r="I129" s="242" t="s">
        <v>25</v>
      </c>
      <c r="J129" s="242"/>
      <c r="K129" s="243">
        <v>43986</v>
      </c>
      <c r="L129" s="243"/>
      <c r="M129" s="244" t="s">
        <v>97</v>
      </c>
      <c r="N129" s="244"/>
      <c r="O129" s="119">
        <v>1</v>
      </c>
      <c r="Q129" s="119">
        <v>0</v>
      </c>
      <c r="S129" s="240">
        <v>0</v>
      </c>
      <c r="T129" s="240"/>
      <c r="W129" s="119">
        <v>0</v>
      </c>
      <c r="Y129" s="119">
        <v>1</v>
      </c>
    </row>
    <row r="130" spans="1:25" ht="15" customHeight="1">
      <c r="A130" s="241">
        <v>95</v>
      </c>
      <c r="B130" s="241"/>
      <c r="C130" s="241"/>
      <c r="D130" s="118">
        <v>5195</v>
      </c>
      <c r="F130" s="242" t="s">
        <v>198</v>
      </c>
      <c r="G130" s="242"/>
      <c r="I130" s="242" t="s">
        <v>25</v>
      </c>
      <c r="J130" s="242"/>
      <c r="K130" s="243">
        <v>43475</v>
      </c>
      <c r="L130" s="243"/>
      <c r="M130" s="244" t="s">
        <v>97</v>
      </c>
      <c r="N130" s="244"/>
      <c r="O130" s="119">
        <v>1</v>
      </c>
      <c r="Q130" s="119">
        <v>0</v>
      </c>
      <c r="S130" s="240">
        <v>0</v>
      </c>
      <c r="T130" s="240"/>
      <c r="W130" s="119">
        <v>0</v>
      </c>
      <c r="Y130" s="119">
        <v>1</v>
      </c>
    </row>
    <row r="131" spans="1:25" ht="15" customHeight="1">
      <c r="A131" s="241">
        <v>96</v>
      </c>
      <c r="B131" s="241"/>
      <c r="C131" s="241"/>
      <c r="D131" s="118">
        <v>6095</v>
      </c>
      <c r="F131" s="242" t="s">
        <v>199</v>
      </c>
      <c r="G131" s="242"/>
      <c r="I131" s="242" t="s">
        <v>25</v>
      </c>
      <c r="J131" s="242"/>
      <c r="K131" s="243">
        <v>44188</v>
      </c>
      <c r="L131" s="243"/>
      <c r="M131" s="244" t="s">
        <v>97</v>
      </c>
      <c r="N131" s="244"/>
      <c r="O131" s="119">
        <v>1</v>
      </c>
      <c r="Q131" s="119">
        <v>0</v>
      </c>
      <c r="S131" s="240">
        <v>0</v>
      </c>
      <c r="T131" s="240"/>
      <c r="W131" s="119">
        <v>0</v>
      </c>
      <c r="Y131" s="119">
        <v>1</v>
      </c>
    </row>
    <row r="132" spans="1:25" ht="15" customHeight="1">
      <c r="A132" s="241">
        <v>97</v>
      </c>
      <c r="B132" s="241"/>
      <c r="C132" s="241"/>
      <c r="D132" s="118">
        <v>3254</v>
      </c>
      <c r="F132" s="242" t="s">
        <v>200</v>
      </c>
      <c r="G132" s="242"/>
      <c r="I132" s="242" t="s">
        <v>25</v>
      </c>
      <c r="J132" s="242"/>
      <c r="K132" s="243">
        <v>42828</v>
      </c>
      <c r="L132" s="243"/>
      <c r="M132" s="244" t="s">
        <v>97</v>
      </c>
      <c r="N132" s="244"/>
      <c r="O132" s="119">
        <v>1</v>
      </c>
      <c r="Q132" s="119">
        <v>0</v>
      </c>
      <c r="S132" s="240">
        <v>0</v>
      </c>
      <c r="T132" s="240"/>
      <c r="W132" s="119">
        <v>0</v>
      </c>
      <c r="Y132" s="119">
        <v>1</v>
      </c>
    </row>
    <row r="133" spans="1:25" ht="15" customHeight="1">
      <c r="A133" s="241">
        <v>98</v>
      </c>
      <c r="B133" s="241"/>
      <c r="C133" s="241"/>
      <c r="D133" s="118">
        <v>3322</v>
      </c>
      <c r="F133" s="242" t="s">
        <v>201</v>
      </c>
      <c r="G133" s="242"/>
      <c r="I133" s="242" t="s">
        <v>25</v>
      </c>
      <c r="J133" s="242"/>
      <c r="K133" s="243">
        <v>43423</v>
      </c>
      <c r="L133" s="243"/>
      <c r="M133" s="244" t="s">
        <v>97</v>
      </c>
      <c r="N133" s="244"/>
      <c r="O133" s="119">
        <v>1</v>
      </c>
      <c r="Q133" s="119">
        <v>0</v>
      </c>
      <c r="S133" s="240">
        <v>0</v>
      </c>
      <c r="T133" s="240"/>
      <c r="W133" s="119">
        <v>0</v>
      </c>
      <c r="Y133" s="119">
        <v>1</v>
      </c>
    </row>
    <row r="134" spans="1:25" ht="15" customHeight="1">
      <c r="A134" s="241">
        <v>99</v>
      </c>
      <c r="B134" s="241"/>
      <c r="C134" s="241"/>
      <c r="D134" s="118">
        <v>5956</v>
      </c>
      <c r="F134" s="242" t="s">
        <v>202</v>
      </c>
      <c r="G134" s="242"/>
      <c r="I134" s="242" t="s">
        <v>25</v>
      </c>
      <c r="J134" s="242"/>
      <c r="K134" s="243">
        <v>44028</v>
      </c>
      <c r="L134" s="243"/>
      <c r="M134" s="244" t="s">
        <v>97</v>
      </c>
      <c r="N134" s="244"/>
      <c r="O134" s="119">
        <v>1</v>
      </c>
      <c r="Q134" s="119">
        <v>0</v>
      </c>
      <c r="S134" s="240">
        <v>0</v>
      </c>
      <c r="T134" s="240"/>
      <c r="W134" s="119">
        <v>0</v>
      </c>
      <c r="Y134" s="119">
        <v>1</v>
      </c>
    </row>
    <row r="135" spans="1:25" ht="15" customHeight="1">
      <c r="A135" s="241">
        <v>100</v>
      </c>
      <c r="B135" s="241"/>
      <c r="C135" s="241"/>
      <c r="D135" s="118">
        <v>3261</v>
      </c>
      <c r="F135" s="242" t="s">
        <v>203</v>
      </c>
      <c r="G135" s="242"/>
      <c r="I135" s="242" t="s">
        <v>25</v>
      </c>
      <c r="J135" s="242"/>
      <c r="K135" s="243">
        <v>42198</v>
      </c>
      <c r="L135" s="243"/>
      <c r="M135" s="244" t="s">
        <v>97</v>
      </c>
      <c r="N135" s="244"/>
      <c r="O135" s="119">
        <v>1</v>
      </c>
      <c r="Q135" s="119">
        <v>0</v>
      </c>
      <c r="S135" s="240">
        <v>0</v>
      </c>
      <c r="T135" s="240"/>
      <c r="W135" s="119">
        <v>0</v>
      </c>
      <c r="Y135" s="119">
        <v>1</v>
      </c>
    </row>
    <row r="136" spans="1:25" ht="15" customHeight="1"/>
    <row r="137" spans="1:25" ht="15" customHeight="1">
      <c r="N137" s="240">
        <v>18</v>
      </c>
      <c r="O137" s="240"/>
      <c r="P137" s="240">
        <v>0</v>
      </c>
      <c r="Q137" s="240"/>
      <c r="R137" s="240">
        <v>1</v>
      </c>
      <c r="S137" s="240"/>
      <c r="T137" s="240"/>
      <c r="V137" s="240">
        <v>0</v>
      </c>
      <c r="W137" s="240"/>
      <c r="X137" s="240">
        <v>19</v>
      </c>
      <c r="Y137" s="240"/>
    </row>
    <row r="138" spans="1:25" ht="15" customHeight="1">
      <c r="F138" s="245" t="s">
        <v>204</v>
      </c>
      <c r="G138" s="245"/>
      <c r="H138" s="245"/>
      <c r="I138" s="245"/>
    </row>
    <row r="139" spans="1:25" ht="15" customHeight="1">
      <c r="A139" s="241">
        <v>101</v>
      </c>
      <c r="B139" s="241"/>
      <c r="C139" s="241"/>
      <c r="D139" s="118">
        <v>6218</v>
      </c>
      <c r="F139" s="242" t="s">
        <v>205</v>
      </c>
      <c r="G139" s="242"/>
      <c r="I139" s="242" t="s">
        <v>204</v>
      </c>
      <c r="J139" s="242"/>
      <c r="K139" s="243">
        <v>44284</v>
      </c>
      <c r="L139" s="243"/>
      <c r="M139" s="244" t="s">
        <v>97</v>
      </c>
      <c r="N139" s="244"/>
      <c r="O139" s="119">
        <v>0</v>
      </c>
      <c r="Q139" s="119">
        <v>0</v>
      </c>
      <c r="S139" s="240">
        <v>1</v>
      </c>
      <c r="T139" s="240"/>
      <c r="W139" s="119">
        <v>0</v>
      </c>
      <c r="Y139" s="119">
        <v>1</v>
      </c>
    </row>
    <row r="140" spans="1:25" ht="15" customHeight="1">
      <c r="A140" s="241">
        <v>102</v>
      </c>
      <c r="B140" s="241"/>
      <c r="C140" s="241"/>
      <c r="D140" s="118">
        <v>15879</v>
      </c>
      <c r="F140" s="242" t="s">
        <v>206</v>
      </c>
      <c r="G140" s="242"/>
      <c r="I140" s="242" t="s">
        <v>204</v>
      </c>
      <c r="J140" s="242"/>
      <c r="K140" s="243">
        <v>43032</v>
      </c>
      <c r="L140" s="243"/>
      <c r="M140" s="244" t="s">
        <v>99</v>
      </c>
      <c r="N140" s="244"/>
      <c r="O140" s="119">
        <v>1</v>
      </c>
      <c r="Q140" s="119">
        <v>0</v>
      </c>
      <c r="S140" s="240">
        <v>0</v>
      </c>
      <c r="T140" s="240"/>
      <c r="W140" s="119">
        <v>0</v>
      </c>
      <c r="Y140" s="119">
        <v>1</v>
      </c>
    </row>
    <row r="141" spans="1:25" ht="15" customHeight="1">
      <c r="A141" s="241">
        <v>103</v>
      </c>
      <c r="B141" s="241"/>
      <c r="C141" s="241"/>
      <c r="D141" s="118">
        <v>5567</v>
      </c>
      <c r="F141" s="242" t="s">
        <v>207</v>
      </c>
      <c r="G141" s="242"/>
      <c r="I141" s="242" t="s">
        <v>204</v>
      </c>
      <c r="J141" s="242"/>
      <c r="K141" s="243">
        <v>43780</v>
      </c>
      <c r="L141" s="243"/>
      <c r="M141" s="244" t="s">
        <v>97</v>
      </c>
      <c r="N141" s="244"/>
      <c r="O141" s="119">
        <v>1</v>
      </c>
      <c r="Q141" s="119">
        <v>0</v>
      </c>
      <c r="S141" s="240">
        <v>0</v>
      </c>
      <c r="T141" s="240"/>
      <c r="W141" s="119">
        <v>0</v>
      </c>
      <c r="Y141" s="119">
        <v>1</v>
      </c>
    </row>
    <row r="142" spans="1:25" ht="15" customHeight="1">
      <c r="A142" s="241">
        <v>104</v>
      </c>
      <c r="B142" s="241"/>
      <c r="C142" s="241"/>
      <c r="D142" s="118">
        <v>16639</v>
      </c>
      <c r="F142" s="242" t="s">
        <v>208</v>
      </c>
      <c r="G142" s="242"/>
      <c r="I142" s="242" t="s">
        <v>204</v>
      </c>
      <c r="J142" s="242"/>
      <c r="K142" s="243">
        <v>44228</v>
      </c>
      <c r="L142" s="243"/>
      <c r="M142" s="244" t="s">
        <v>99</v>
      </c>
      <c r="N142" s="244"/>
      <c r="O142" s="119">
        <v>0</v>
      </c>
      <c r="Q142" s="119">
        <v>1</v>
      </c>
      <c r="S142" s="240">
        <v>0</v>
      </c>
      <c r="T142" s="240"/>
      <c r="W142" s="119">
        <v>0</v>
      </c>
      <c r="Y142" s="119">
        <v>1</v>
      </c>
    </row>
    <row r="143" spans="1:25" ht="15" customHeight="1">
      <c r="A143" s="241">
        <v>105</v>
      </c>
      <c r="B143" s="241"/>
      <c r="C143" s="241"/>
      <c r="D143" s="118">
        <v>5896</v>
      </c>
      <c r="F143" s="242" t="s">
        <v>209</v>
      </c>
      <c r="G143" s="242"/>
      <c r="I143" s="242" t="s">
        <v>204</v>
      </c>
      <c r="J143" s="242"/>
      <c r="K143" s="243">
        <v>43991</v>
      </c>
      <c r="L143" s="243"/>
      <c r="M143" s="244" t="s">
        <v>97</v>
      </c>
      <c r="N143" s="244"/>
      <c r="O143" s="119">
        <v>1</v>
      </c>
      <c r="Q143" s="119">
        <v>0</v>
      </c>
      <c r="S143" s="240">
        <v>0</v>
      </c>
      <c r="T143" s="240"/>
      <c r="W143" s="119">
        <v>0</v>
      </c>
      <c r="Y143" s="119">
        <v>1</v>
      </c>
    </row>
    <row r="144" spans="1:25" ht="15" customHeight="1">
      <c r="A144" s="241">
        <v>106</v>
      </c>
      <c r="B144" s="241"/>
      <c r="C144" s="241"/>
      <c r="D144" s="118">
        <v>15709</v>
      </c>
      <c r="F144" s="242" t="s">
        <v>118</v>
      </c>
      <c r="G144" s="242"/>
      <c r="I144" s="242" t="s">
        <v>204</v>
      </c>
      <c r="J144" s="242"/>
      <c r="K144" s="243">
        <v>42795</v>
      </c>
      <c r="L144" s="243"/>
      <c r="M144" s="244" t="s">
        <v>99</v>
      </c>
      <c r="N144" s="244"/>
      <c r="O144" s="119">
        <v>0</v>
      </c>
      <c r="Q144" s="119">
        <v>1</v>
      </c>
      <c r="S144" s="240">
        <v>0</v>
      </c>
      <c r="T144" s="240"/>
      <c r="W144" s="119">
        <v>0</v>
      </c>
      <c r="Y144" s="119">
        <v>1</v>
      </c>
    </row>
    <row r="145" spans="1:25" ht="15" customHeight="1">
      <c r="A145" s="241">
        <v>107</v>
      </c>
      <c r="B145" s="241"/>
      <c r="C145" s="241"/>
      <c r="D145" s="118">
        <v>16327</v>
      </c>
      <c r="F145" s="242" t="s">
        <v>210</v>
      </c>
      <c r="G145" s="242"/>
      <c r="I145" s="242" t="s">
        <v>204</v>
      </c>
      <c r="J145" s="242"/>
      <c r="K145" s="243">
        <v>43719</v>
      </c>
      <c r="L145" s="243"/>
      <c r="M145" s="244" t="s">
        <v>99</v>
      </c>
      <c r="N145" s="244"/>
      <c r="O145" s="119">
        <v>0</v>
      </c>
      <c r="Q145" s="119">
        <v>0</v>
      </c>
      <c r="S145" s="240">
        <v>1</v>
      </c>
      <c r="T145" s="240"/>
      <c r="W145" s="119">
        <v>0</v>
      </c>
      <c r="Y145" s="119">
        <v>1</v>
      </c>
    </row>
    <row r="146" spans="1:25" ht="15" customHeight="1">
      <c r="A146" s="241">
        <v>108</v>
      </c>
      <c r="B146" s="241"/>
      <c r="C146" s="241"/>
      <c r="D146" s="118">
        <v>16329</v>
      </c>
      <c r="F146" s="242" t="s">
        <v>211</v>
      </c>
      <c r="G146" s="242"/>
      <c r="I146" s="242" t="s">
        <v>204</v>
      </c>
      <c r="J146" s="242"/>
      <c r="K146" s="243">
        <v>43721</v>
      </c>
      <c r="L146" s="243"/>
      <c r="M146" s="244" t="s">
        <v>99</v>
      </c>
      <c r="N146" s="244"/>
      <c r="O146" s="119">
        <v>0</v>
      </c>
      <c r="Q146" s="119">
        <v>1</v>
      </c>
      <c r="S146" s="240">
        <v>0</v>
      </c>
      <c r="T146" s="240"/>
      <c r="W146" s="119">
        <v>0</v>
      </c>
      <c r="Y146" s="119">
        <v>1</v>
      </c>
    </row>
    <row r="147" spans="1:25" ht="15" customHeight="1"/>
    <row r="148" spans="1:25" ht="15" customHeight="1">
      <c r="N148" s="240">
        <v>3</v>
      </c>
      <c r="O148" s="240"/>
      <c r="P148" s="240">
        <v>3</v>
      </c>
      <c r="Q148" s="240"/>
      <c r="R148" s="240">
        <v>2</v>
      </c>
      <c r="S148" s="240"/>
      <c r="T148" s="240"/>
      <c r="V148" s="240">
        <v>0</v>
      </c>
      <c r="W148" s="240"/>
      <c r="X148" s="240">
        <v>8</v>
      </c>
      <c r="Y148" s="240"/>
    </row>
    <row r="149" spans="1:25" ht="15" customHeight="1">
      <c r="F149" s="245" t="s">
        <v>212</v>
      </c>
      <c r="G149" s="245"/>
      <c r="H149" s="245"/>
      <c r="I149" s="245"/>
    </row>
    <row r="150" spans="1:25" ht="15" customHeight="1">
      <c r="A150" s="241">
        <v>109</v>
      </c>
      <c r="B150" s="241"/>
      <c r="C150" s="241"/>
      <c r="D150" s="118">
        <v>3007</v>
      </c>
      <c r="F150" s="242" t="s">
        <v>213</v>
      </c>
      <c r="G150" s="242"/>
      <c r="I150" s="242" t="s">
        <v>212</v>
      </c>
      <c r="J150" s="242"/>
      <c r="K150" s="243">
        <v>35217</v>
      </c>
      <c r="L150" s="243"/>
      <c r="M150" s="244" t="s">
        <v>97</v>
      </c>
      <c r="N150" s="244"/>
      <c r="O150" s="119">
        <v>0</v>
      </c>
      <c r="Q150" s="119">
        <v>0</v>
      </c>
      <c r="S150" s="240">
        <v>1</v>
      </c>
      <c r="T150" s="240"/>
      <c r="W150" s="119">
        <v>0</v>
      </c>
      <c r="Y150" s="119">
        <v>1</v>
      </c>
    </row>
    <row r="151" spans="1:25" ht="15" customHeight="1">
      <c r="A151" s="241">
        <v>110</v>
      </c>
      <c r="B151" s="241"/>
      <c r="C151" s="241"/>
      <c r="D151" s="118">
        <v>3001</v>
      </c>
      <c r="F151" s="242" t="s">
        <v>214</v>
      </c>
      <c r="G151" s="242"/>
      <c r="I151" s="242" t="s">
        <v>212</v>
      </c>
      <c r="J151" s="242"/>
      <c r="K151" s="243">
        <v>34723</v>
      </c>
      <c r="L151" s="243"/>
      <c r="M151" s="244" t="s">
        <v>97</v>
      </c>
      <c r="N151" s="244"/>
      <c r="O151" s="119">
        <v>0</v>
      </c>
      <c r="Q151" s="119">
        <v>0</v>
      </c>
      <c r="S151" s="240">
        <v>1</v>
      </c>
      <c r="T151" s="240"/>
      <c r="W151" s="119">
        <v>0</v>
      </c>
      <c r="Y151" s="119">
        <v>1</v>
      </c>
    </row>
    <row r="152" spans="1:25" ht="15" customHeight="1">
      <c r="A152" s="241">
        <v>111</v>
      </c>
      <c r="B152" s="241"/>
      <c r="C152" s="241"/>
      <c r="D152" s="118">
        <v>3014</v>
      </c>
      <c r="F152" s="242" t="s">
        <v>215</v>
      </c>
      <c r="G152" s="242"/>
      <c r="I152" s="242" t="s">
        <v>212</v>
      </c>
      <c r="J152" s="242"/>
      <c r="K152" s="243">
        <v>37189</v>
      </c>
      <c r="L152" s="243"/>
      <c r="M152" s="244" t="s">
        <v>97</v>
      </c>
      <c r="N152" s="244"/>
      <c r="O152" s="119">
        <v>1</v>
      </c>
      <c r="Q152" s="119">
        <v>0</v>
      </c>
      <c r="S152" s="240">
        <v>0</v>
      </c>
      <c r="T152" s="240"/>
      <c r="W152" s="119">
        <v>0</v>
      </c>
      <c r="Y152" s="119">
        <v>1</v>
      </c>
    </row>
    <row r="153" spans="1:25" ht="15" customHeight="1">
      <c r="A153" s="241">
        <v>112</v>
      </c>
      <c r="B153" s="241"/>
      <c r="C153" s="241"/>
      <c r="D153" s="118">
        <v>3009</v>
      </c>
      <c r="F153" s="242" t="s">
        <v>216</v>
      </c>
      <c r="G153" s="242"/>
      <c r="I153" s="242" t="s">
        <v>212</v>
      </c>
      <c r="J153" s="242"/>
      <c r="K153" s="243">
        <v>35267</v>
      </c>
      <c r="L153" s="243"/>
      <c r="M153" s="244" t="s">
        <v>97</v>
      </c>
      <c r="N153" s="244"/>
      <c r="O153" s="119">
        <v>0</v>
      </c>
      <c r="Q153" s="119">
        <v>1</v>
      </c>
      <c r="S153" s="240">
        <v>0</v>
      </c>
      <c r="T153" s="240"/>
      <c r="W153" s="119">
        <v>0</v>
      </c>
      <c r="Y153" s="119">
        <v>1</v>
      </c>
    </row>
    <row r="154" spans="1:25" ht="15" customHeight="1"/>
    <row r="155" spans="1:25" ht="15" customHeight="1">
      <c r="N155" s="240">
        <v>1</v>
      </c>
      <c r="O155" s="240"/>
      <c r="P155" s="240">
        <v>1</v>
      </c>
      <c r="Q155" s="240"/>
      <c r="R155" s="240">
        <v>2</v>
      </c>
      <c r="S155" s="240"/>
      <c r="T155" s="240"/>
      <c r="V155" s="240">
        <v>0</v>
      </c>
      <c r="W155" s="240"/>
      <c r="X155" s="240">
        <v>4</v>
      </c>
      <c r="Y155" s="240"/>
    </row>
    <row r="156" spans="1:25" ht="15" customHeight="1">
      <c r="F156" s="245" t="s">
        <v>217</v>
      </c>
      <c r="G156" s="245"/>
      <c r="H156" s="245"/>
      <c r="I156" s="245"/>
    </row>
    <row r="157" spans="1:25" ht="15" customHeight="1">
      <c r="A157" s="241">
        <v>113</v>
      </c>
      <c r="B157" s="241"/>
      <c r="C157" s="241"/>
      <c r="D157" s="118">
        <v>372</v>
      </c>
      <c r="F157" s="242" t="s">
        <v>218</v>
      </c>
      <c r="G157" s="242"/>
      <c r="I157" s="242" t="s">
        <v>217</v>
      </c>
      <c r="J157" s="242"/>
      <c r="K157" s="243">
        <v>43790</v>
      </c>
      <c r="L157" s="243"/>
      <c r="M157" s="244" t="s">
        <v>217</v>
      </c>
      <c r="N157" s="244"/>
      <c r="O157" s="119">
        <v>1</v>
      </c>
      <c r="Q157" s="119">
        <v>0</v>
      </c>
      <c r="S157" s="240">
        <v>0</v>
      </c>
      <c r="T157" s="240"/>
      <c r="W157" s="119">
        <v>0</v>
      </c>
      <c r="Y157" s="119">
        <v>1</v>
      </c>
    </row>
    <row r="158" spans="1:25" ht="15" customHeight="1">
      <c r="A158" s="241">
        <v>114</v>
      </c>
      <c r="B158" s="241"/>
      <c r="C158" s="241"/>
      <c r="D158" s="118">
        <v>440</v>
      </c>
      <c r="F158" s="242" t="s">
        <v>219</v>
      </c>
      <c r="G158" s="242"/>
      <c r="I158" s="242" t="s">
        <v>217</v>
      </c>
      <c r="J158" s="242"/>
      <c r="K158" s="243">
        <v>44215</v>
      </c>
      <c r="L158" s="243"/>
      <c r="M158" s="244" t="s">
        <v>217</v>
      </c>
      <c r="N158" s="244"/>
      <c r="O158" s="119">
        <v>0</v>
      </c>
      <c r="Q158" s="119">
        <v>0</v>
      </c>
      <c r="S158" s="240">
        <v>1</v>
      </c>
      <c r="T158" s="240"/>
      <c r="W158" s="119">
        <v>0</v>
      </c>
      <c r="Y158" s="119">
        <v>1</v>
      </c>
    </row>
    <row r="159" spans="1:25" ht="15" customHeight="1">
      <c r="A159" s="241">
        <v>115</v>
      </c>
      <c r="B159" s="241"/>
      <c r="C159" s="241"/>
      <c r="D159" s="118">
        <v>472</v>
      </c>
      <c r="F159" s="242" t="s">
        <v>220</v>
      </c>
      <c r="G159" s="242"/>
      <c r="I159" s="242" t="s">
        <v>217</v>
      </c>
      <c r="J159" s="242"/>
      <c r="K159" s="243">
        <v>44278</v>
      </c>
      <c r="L159" s="243"/>
      <c r="M159" s="244" t="s">
        <v>217</v>
      </c>
      <c r="N159" s="244"/>
      <c r="O159" s="119">
        <v>1</v>
      </c>
      <c r="Q159" s="119">
        <v>0</v>
      </c>
      <c r="S159" s="240">
        <v>0</v>
      </c>
      <c r="T159" s="240"/>
      <c r="W159" s="119">
        <v>0</v>
      </c>
      <c r="Y159" s="119">
        <v>1</v>
      </c>
    </row>
    <row r="160" spans="1:25" ht="15" customHeight="1">
      <c r="A160" s="241">
        <v>116</v>
      </c>
      <c r="B160" s="241"/>
      <c r="C160" s="241"/>
      <c r="D160" s="118">
        <v>3328</v>
      </c>
      <c r="F160" s="242" t="s">
        <v>221</v>
      </c>
      <c r="G160" s="242"/>
      <c r="I160" s="242" t="s">
        <v>217</v>
      </c>
      <c r="J160" s="242"/>
      <c r="K160" s="243">
        <v>43872</v>
      </c>
      <c r="L160" s="243"/>
      <c r="M160" s="244" t="s">
        <v>97</v>
      </c>
      <c r="N160" s="244"/>
      <c r="O160" s="119">
        <v>1</v>
      </c>
      <c r="Q160" s="119">
        <v>0</v>
      </c>
      <c r="S160" s="240">
        <v>0</v>
      </c>
      <c r="T160" s="240"/>
      <c r="W160" s="119">
        <v>0</v>
      </c>
      <c r="Y160" s="119">
        <v>1</v>
      </c>
    </row>
    <row r="161" spans="1:25" ht="15" customHeight="1">
      <c r="A161" s="241">
        <v>117</v>
      </c>
      <c r="B161" s="241"/>
      <c r="C161" s="241"/>
      <c r="D161" s="118">
        <v>3344</v>
      </c>
      <c r="F161" s="242" t="s">
        <v>103</v>
      </c>
      <c r="G161" s="242"/>
      <c r="I161" s="242" t="s">
        <v>217</v>
      </c>
      <c r="J161" s="242"/>
      <c r="K161" s="243">
        <v>44153</v>
      </c>
      <c r="L161" s="243"/>
      <c r="M161" s="244" t="s">
        <v>97</v>
      </c>
      <c r="N161" s="244"/>
      <c r="O161" s="119">
        <v>0</v>
      </c>
      <c r="Q161" s="119">
        <v>1</v>
      </c>
      <c r="S161" s="240">
        <v>0</v>
      </c>
      <c r="T161" s="240"/>
      <c r="W161" s="119">
        <v>0</v>
      </c>
      <c r="Y161" s="119">
        <v>1</v>
      </c>
    </row>
    <row r="162" spans="1:25" ht="15" customHeight="1">
      <c r="A162" s="241">
        <v>118</v>
      </c>
      <c r="B162" s="241"/>
      <c r="C162" s="241"/>
      <c r="D162" s="118">
        <v>450</v>
      </c>
      <c r="F162" s="242" t="s">
        <v>222</v>
      </c>
      <c r="G162" s="242"/>
      <c r="I162" s="242" t="s">
        <v>217</v>
      </c>
      <c r="J162" s="242"/>
      <c r="K162" s="243">
        <v>44242</v>
      </c>
      <c r="L162" s="243"/>
      <c r="M162" s="244" t="s">
        <v>217</v>
      </c>
      <c r="N162" s="244"/>
      <c r="O162" s="119">
        <v>1</v>
      </c>
      <c r="Q162" s="119">
        <v>0</v>
      </c>
      <c r="S162" s="240">
        <v>0</v>
      </c>
      <c r="T162" s="240"/>
      <c r="W162" s="119">
        <v>0</v>
      </c>
      <c r="Y162" s="119">
        <v>1</v>
      </c>
    </row>
    <row r="163" spans="1:25" ht="15" customHeight="1">
      <c r="A163" s="241">
        <v>119</v>
      </c>
      <c r="B163" s="241"/>
      <c r="C163" s="241"/>
      <c r="D163" s="118">
        <v>384</v>
      </c>
      <c r="F163" s="242" t="s">
        <v>223</v>
      </c>
      <c r="G163" s="242"/>
      <c r="I163" s="242" t="s">
        <v>217</v>
      </c>
      <c r="J163" s="242"/>
      <c r="K163" s="243">
        <v>43873</v>
      </c>
      <c r="L163" s="243"/>
      <c r="M163" s="244" t="s">
        <v>217</v>
      </c>
      <c r="N163" s="244"/>
      <c r="O163" s="119">
        <v>1</v>
      </c>
      <c r="Q163" s="119">
        <v>0</v>
      </c>
      <c r="S163" s="240">
        <v>0</v>
      </c>
      <c r="T163" s="240"/>
      <c r="W163" s="119">
        <v>0</v>
      </c>
      <c r="Y163" s="119">
        <v>1</v>
      </c>
    </row>
    <row r="164" spans="1:25" ht="15" customHeight="1">
      <c r="A164" s="241">
        <v>120</v>
      </c>
      <c r="B164" s="241"/>
      <c r="C164" s="241"/>
      <c r="D164" s="118">
        <v>3296</v>
      </c>
      <c r="F164" s="242" t="s">
        <v>224</v>
      </c>
      <c r="G164" s="242"/>
      <c r="I164" s="242" t="s">
        <v>217</v>
      </c>
      <c r="J164" s="242"/>
      <c r="K164" s="243">
        <v>43258</v>
      </c>
      <c r="L164" s="243"/>
      <c r="M164" s="244" t="s">
        <v>97</v>
      </c>
      <c r="N164" s="244"/>
      <c r="O164" s="119">
        <v>1</v>
      </c>
      <c r="Q164" s="119">
        <v>0</v>
      </c>
      <c r="S164" s="240">
        <v>0</v>
      </c>
      <c r="T164" s="240"/>
      <c r="W164" s="119">
        <v>0</v>
      </c>
      <c r="Y164" s="119">
        <v>1</v>
      </c>
    </row>
    <row r="165" spans="1:25" ht="15" customHeight="1">
      <c r="A165" s="241">
        <v>121</v>
      </c>
      <c r="B165" s="241"/>
      <c r="C165" s="241"/>
      <c r="D165" s="118">
        <v>420</v>
      </c>
      <c r="F165" s="242" t="s">
        <v>225</v>
      </c>
      <c r="G165" s="242"/>
      <c r="I165" s="242" t="s">
        <v>217</v>
      </c>
      <c r="J165" s="242"/>
      <c r="K165" s="243">
        <v>44153</v>
      </c>
      <c r="L165" s="243"/>
      <c r="M165" s="244" t="s">
        <v>217</v>
      </c>
      <c r="N165" s="244"/>
      <c r="O165" s="119">
        <v>0</v>
      </c>
      <c r="Q165" s="119">
        <v>1</v>
      </c>
      <c r="S165" s="240">
        <v>0</v>
      </c>
      <c r="T165" s="240"/>
      <c r="W165" s="119">
        <v>0</v>
      </c>
      <c r="Y165" s="119">
        <v>1</v>
      </c>
    </row>
    <row r="166" spans="1:25" ht="15" customHeight="1">
      <c r="A166" s="241">
        <v>122</v>
      </c>
      <c r="B166" s="241"/>
      <c r="C166" s="241"/>
      <c r="D166" s="118">
        <v>3337</v>
      </c>
      <c r="F166" s="242" t="s">
        <v>226</v>
      </c>
      <c r="G166" s="242"/>
      <c r="I166" s="242" t="s">
        <v>217</v>
      </c>
      <c r="J166" s="242"/>
      <c r="K166" s="243">
        <v>42353</v>
      </c>
      <c r="L166" s="243"/>
      <c r="M166" s="244" t="s">
        <v>97</v>
      </c>
      <c r="N166" s="244"/>
      <c r="O166" s="119">
        <v>0</v>
      </c>
      <c r="Q166" s="119">
        <v>1</v>
      </c>
      <c r="S166" s="240">
        <v>0</v>
      </c>
      <c r="T166" s="240"/>
      <c r="W166" s="119">
        <v>0</v>
      </c>
      <c r="Y166" s="119">
        <v>1</v>
      </c>
    </row>
    <row r="167" spans="1:25" ht="15" customHeight="1">
      <c r="A167" s="241">
        <v>123</v>
      </c>
      <c r="B167" s="241"/>
      <c r="C167" s="241"/>
      <c r="D167" s="118">
        <v>3220</v>
      </c>
      <c r="F167" s="242" t="s">
        <v>227</v>
      </c>
      <c r="G167" s="242"/>
      <c r="I167" s="242" t="s">
        <v>217</v>
      </c>
      <c r="J167" s="242"/>
      <c r="K167" s="243">
        <v>40511</v>
      </c>
      <c r="L167" s="243"/>
      <c r="M167" s="244" t="s">
        <v>97</v>
      </c>
      <c r="N167" s="244"/>
      <c r="O167" s="119">
        <v>1</v>
      </c>
      <c r="Q167" s="119">
        <v>0</v>
      </c>
      <c r="S167" s="240">
        <v>0</v>
      </c>
      <c r="T167" s="240"/>
      <c r="W167" s="119">
        <v>0</v>
      </c>
      <c r="Y167" s="119">
        <v>1</v>
      </c>
    </row>
    <row r="168" spans="1:25" ht="15" customHeight="1">
      <c r="A168" s="241">
        <v>124</v>
      </c>
      <c r="B168" s="241"/>
      <c r="C168" s="241"/>
      <c r="D168" s="118">
        <v>3269</v>
      </c>
      <c r="F168" s="242" t="s">
        <v>228</v>
      </c>
      <c r="G168" s="242"/>
      <c r="I168" s="242" t="s">
        <v>217</v>
      </c>
      <c r="J168" s="242"/>
      <c r="K168" s="243">
        <v>43148</v>
      </c>
      <c r="L168" s="243"/>
      <c r="M168" s="244" t="s">
        <v>97</v>
      </c>
      <c r="N168" s="244"/>
      <c r="O168" s="119">
        <v>1</v>
      </c>
      <c r="Q168" s="119">
        <v>0</v>
      </c>
      <c r="S168" s="240">
        <v>0</v>
      </c>
      <c r="T168" s="240"/>
      <c r="W168" s="119">
        <v>0</v>
      </c>
      <c r="Y168" s="119">
        <v>1</v>
      </c>
    </row>
    <row r="169" spans="1:25" ht="15" customHeight="1">
      <c r="A169" s="241">
        <v>125</v>
      </c>
      <c r="B169" s="241"/>
      <c r="C169" s="241"/>
      <c r="D169" s="118">
        <v>470</v>
      </c>
      <c r="F169" s="242" t="s">
        <v>229</v>
      </c>
      <c r="G169" s="242"/>
      <c r="I169" s="242" t="s">
        <v>217</v>
      </c>
      <c r="J169" s="242"/>
      <c r="K169" s="243">
        <v>44270</v>
      </c>
      <c r="L169" s="243"/>
      <c r="M169" s="244" t="s">
        <v>217</v>
      </c>
      <c r="N169" s="244"/>
      <c r="O169" s="119">
        <v>0</v>
      </c>
      <c r="Q169" s="119">
        <v>1</v>
      </c>
      <c r="S169" s="240">
        <v>0</v>
      </c>
      <c r="T169" s="240"/>
      <c r="W169" s="119">
        <v>0</v>
      </c>
      <c r="Y169" s="119">
        <v>1</v>
      </c>
    </row>
    <row r="170" spans="1:25" ht="15" customHeight="1">
      <c r="A170" s="241">
        <v>126</v>
      </c>
      <c r="B170" s="241"/>
      <c r="C170" s="241"/>
      <c r="D170" s="118">
        <v>18</v>
      </c>
      <c r="F170" s="242" t="s">
        <v>110</v>
      </c>
      <c r="G170" s="242"/>
      <c r="I170" s="242" t="s">
        <v>217</v>
      </c>
      <c r="J170" s="242"/>
      <c r="K170" s="243">
        <v>40851</v>
      </c>
      <c r="L170" s="243"/>
      <c r="M170" s="244" t="s">
        <v>217</v>
      </c>
      <c r="N170" s="244"/>
      <c r="O170" s="119">
        <v>1</v>
      </c>
      <c r="Q170" s="119">
        <v>0</v>
      </c>
      <c r="S170" s="240">
        <v>0</v>
      </c>
      <c r="T170" s="240"/>
      <c r="W170" s="119">
        <v>0</v>
      </c>
      <c r="Y170" s="119">
        <v>1</v>
      </c>
    </row>
    <row r="171" spans="1:25" ht="15" customHeight="1">
      <c r="A171" s="241">
        <v>127</v>
      </c>
      <c r="B171" s="241"/>
      <c r="C171" s="241"/>
      <c r="D171" s="118">
        <v>455</v>
      </c>
      <c r="F171" s="242" t="s">
        <v>230</v>
      </c>
      <c r="G171" s="242"/>
      <c r="I171" s="242" t="s">
        <v>217</v>
      </c>
      <c r="J171" s="242"/>
      <c r="K171" s="243">
        <v>44249</v>
      </c>
      <c r="L171" s="243"/>
      <c r="M171" s="244" t="s">
        <v>217</v>
      </c>
      <c r="N171" s="244"/>
      <c r="O171" s="119">
        <v>0</v>
      </c>
      <c r="Q171" s="119">
        <v>1</v>
      </c>
      <c r="S171" s="240">
        <v>0</v>
      </c>
      <c r="T171" s="240"/>
      <c r="W171" s="119">
        <v>0</v>
      </c>
      <c r="Y171" s="119">
        <v>1</v>
      </c>
    </row>
    <row r="172" spans="1:25" ht="15" customHeight="1">
      <c r="A172" s="241">
        <v>128</v>
      </c>
      <c r="B172" s="241"/>
      <c r="C172" s="241"/>
      <c r="D172" s="118">
        <v>382</v>
      </c>
      <c r="F172" s="242" t="s">
        <v>192</v>
      </c>
      <c r="G172" s="242"/>
      <c r="I172" s="242" t="s">
        <v>217</v>
      </c>
      <c r="J172" s="242"/>
      <c r="K172" s="243">
        <v>43864</v>
      </c>
      <c r="L172" s="243"/>
      <c r="M172" s="244" t="s">
        <v>217</v>
      </c>
      <c r="N172" s="244"/>
      <c r="O172" s="119">
        <v>0</v>
      </c>
      <c r="Q172" s="119">
        <v>1</v>
      </c>
      <c r="S172" s="240">
        <v>0</v>
      </c>
      <c r="T172" s="240"/>
      <c r="W172" s="119">
        <v>0</v>
      </c>
      <c r="Y172" s="119">
        <v>1</v>
      </c>
    </row>
    <row r="173" spans="1:25" ht="15" customHeight="1">
      <c r="A173" s="241">
        <v>129</v>
      </c>
      <c r="B173" s="241"/>
      <c r="C173" s="241"/>
      <c r="D173" s="118">
        <v>430</v>
      </c>
      <c r="F173" s="242" t="s">
        <v>231</v>
      </c>
      <c r="G173" s="242"/>
      <c r="I173" s="242" t="s">
        <v>217</v>
      </c>
      <c r="J173" s="242"/>
      <c r="K173" s="243">
        <v>44174</v>
      </c>
      <c r="L173" s="243"/>
      <c r="M173" s="244" t="s">
        <v>217</v>
      </c>
      <c r="N173" s="244"/>
      <c r="O173" s="119">
        <v>1</v>
      </c>
      <c r="Q173" s="119">
        <v>0</v>
      </c>
      <c r="S173" s="240">
        <v>0</v>
      </c>
      <c r="T173" s="240"/>
      <c r="W173" s="119">
        <v>0</v>
      </c>
      <c r="Y173" s="119">
        <v>1</v>
      </c>
    </row>
    <row r="174" spans="1:25" ht="15" customHeight="1">
      <c r="A174" s="241">
        <v>130</v>
      </c>
      <c r="B174" s="241"/>
      <c r="C174" s="241"/>
      <c r="D174" s="118">
        <v>3219</v>
      </c>
      <c r="F174" s="242" t="s">
        <v>232</v>
      </c>
      <c r="G174" s="242"/>
      <c r="I174" s="242" t="s">
        <v>217</v>
      </c>
      <c r="J174" s="242"/>
      <c r="K174" s="243">
        <v>40203</v>
      </c>
      <c r="L174" s="243"/>
      <c r="M174" s="244" t="s">
        <v>97</v>
      </c>
      <c r="N174" s="244"/>
      <c r="O174" s="119">
        <v>1</v>
      </c>
      <c r="Q174" s="119">
        <v>0</v>
      </c>
      <c r="S174" s="240">
        <v>0</v>
      </c>
      <c r="T174" s="240"/>
      <c r="W174" s="119">
        <v>0</v>
      </c>
      <c r="Y174" s="119">
        <v>1</v>
      </c>
    </row>
    <row r="175" spans="1:25" ht="15" customHeight="1">
      <c r="A175" s="241">
        <v>131</v>
      </c>
      <c r="B175" s="241"/>
      <c r="C175" s="241"/>
      <c r="D175" s="118">
        <v>445</v>
      </c>
      <c r="F175" s="242" t="s">
        <v>113</v>
      </c>
      <c r="G175" s="242"/>
      <c r="I175" s="242" t="s">
        <v>217</v>
      </c>
      <c r="J175" s="242"/>
      <c r="K175" s="243">
        <v>44231</v>
      </c>
      <c r="L175" s="243"/>
      <c r="M175" s="244" t="s">
        <v>217</v>
      </c>
      <c r="N175" s="244"/>
      <c r="O175" s="119">
        <v>1</v>
      </c>
      <c r="Q175" s="119">
        <v>0</v>
      </c>
      <c r="S175" s="240">
        <v>0</v>
      </c>
      <c r="T175" s="240"/>
      <c r="W175" s="119">
        <v>0</v>
      </c>
      <c r="Y175" s="119">
        <v>1</v>
      </c>
    </row>
    <row r="176" spans="1:25" ht="15" customHeight="1">
      <c r="A176" s="241">
        <v>132</v>
      </c>
      <c r="B176" s="241"/>
      <c r="C176" s="241"/>
      <c r="D176" s="118">
        <v>442</v>
      </c>
      <c r="F176" s="242" t="s">
        <v>233</v>
      </c>
      <c r="G176" s="242"/>
      <c r="I176" s="242" t="s">
        <v>217</v>
      </c>
      <c r="J176" s="242"/>
      <c r="K176" s="243">
        <v>44228</v>
      </c>
      <c r="L176" s="243"/>
      <c r="M176" s="244" t="s">
        <v>217</v>
      </c>
      <c r="N176" s="244"/>
      <c r="O176" s="119">
        <v>1</v>
      </c>
      <c r="Q176" s="119">
        <v>0</v>
      </c>
      <c r="S176" s="240">
        <v>0</v>
      </c>
      <c r="T176" s="240"/>
      <c r="W176" s="119">
        <v>0</v>
      </c>
      <c r="Y176" s="119">
        <v>1</v>
      </c>
    </row>
    <row r="177" spans="1:25" ht="15" customHeight="1">
      <c r="A177" s="241">
        <v>133</v>
      </c>
      <c r="B177" s="241"/>
      <c r="C177" s="241"/>
      <c r="D177" s="118">
        <v>3177</v>
      </c>
      <c r="F177" s="242" t="s">
        <v>234</v>
      </c>
      <c r="G177" s="242"/>
      <c r="I177" s="242" t="s">
        <v>217</v>
      </c>
      <c r="J177" s="242"/>
      <c r="K177" s="243">
        <v>42352</v>
      </c>
      <c r="L177" s="243"/>
      <c r="M177" s="244" t="s">
        <v>97</v>
      </c>
      <c r="N177" s="244"/>
      <c r="O177" s="119">
        <v>0</v>
      </c>
      <c r="Q177" s="119">
        <v>0</v>
      </c>
      <c r="S177" s="240">
        <v>1</v>
      </c>
      <c r="T177" s="240"/>
      <c r="W177" s="119">
        <v>0</v>
      </c>
      <c r="Y177" s="119">
        <v>1</v>
      </c>
    </row>
    <row r="178" spans="1:25" ht="15" customHeight="1">
      <c r="A178" s="241">
        <v>134</v>
      </c>
      <c r="B178" s="241"/>
      <c r="C178" s="241"/>
      <c r="D178" s="118">
        <v>456</v>
      </c>
      <c r="F178" s="242" t="s">
        <v>235</v>
      </c>
      <c r="G178" s="242"/>
      <c r="I178" s="242" t="s">
        <v>217</v>
      </c>
      <c r="J178" s="242"/>
      <c r="K178" s="243">
        <v>44249</v>
      </c>
      <c r="L178" s="243"/>
      <c r="M178" s="244" t="s">
        <v>217</v>
      </c>
      <c r="N178" s="244"/>
      <c r="O178" s="119">
        <v>0</v>
      </c>
      <c r="Q178" s="119">
        <v>1</v>
      </c>
      <c r="S178" s="240">
        <v>0</v>
      </c>
      <c r="T178" s="240"/>
      <c r="W178" s="119">
        <v>0</v>
      </c>
      <c r="Y178" s="119">
        <v>1</v>
      </c>
    </row>
    <row r="179" spans="1:25" ht="15" customHeight="1">
      <c r="A179" s="241">
        <v>135</v>
      </c>
      <c r="B179" s="241"/>
      <c r="C179" s="241"/>
      <c r="D179" s="118">
        <v>3202</v>
      </c>
      <c r="F179" s="242" t="s">
        <v>236</v>
      </c>
      <c r="G179" s="242"/>
      <c r="I179" s="242" t="s">
        <v>217</v>
      </c>
      <c r="J179" s="242"/>
      <c r="K179" s="243">
        <v>41802</v>
      </c>
      <c r="L179" s="243"/>
      <c r="M179" s="244" t="s">
        <v>97</v>
      </c>
      <c r="N179" s="244"/>
      <c r="O179" s="119">
        <v>0</v>
      </c>
      <c r="Q179" s="119">
        <v>1</v>
      </c>
      <c r="S179" s="240">
        <v>0</v>
      </c>
      <c r="T179" s="240"/>
      <c r="W179" s="119">
        <v>0</v>
      </c>
      <c r="Y179" s="119">
        <v>1</v>
      </c>
    </row>
    <row r="180" spans="1:25" ht="15" customHeight="1">
      <c r="A180" s="241">
        <v>136</v>
      </c>
      <c r="B180" s="241"/>
      <c r="C180" s="241"/>
      <c r="D180" s="118">
        <v>2</v>
      </c>
      <c r="F180" s="242" t="s">
        <v>237</v>
      </c>
      <c r="G180" s="242"/>
      <c r="I180" s="242" t="s">
        <v>217</v>
      </c>
      <c r="J180" s="242"/>
      <c r="K180" s="243">
        <v>37313</v>
      </c>
      <c r="L180" s="243"/>
      <c r="M180" s="244" t="s">
        <v>217</v>
      </c>
      <c r="N180" s="244"/>
      <c r="O180" s="119">
        <v>0</v>
      </c>
      <c r="Q180" s="119">
        <v>0</v>
      </c>
      <c r="S180" s="240">
        <v>1</v>
      </c>
      <c r="T180" s="240"/>
      <c r="W180" s="119">
        <v>0</v>
      </c>
      <c r="Y180" s="119">
        <v>1</v>
      </c>
    </row>
    <row r="181" spans="1:25" ht="15" customHeight="1">
      <c r="A181" s="241">
        <v>137</v>
      </c>
      <c r="B181" s="241"/>
      <c r="C181" s="241"/>
      <c r="D181" s="118">
        <v>89</v>
      </c>
      <c r="F181" s="242" t="s">
        <v>238</v>
      </c>
      <c r="G181" s="242"/>
      <c r="I181" s="242" t="s">
        <v>217</v>
      </c>
      <c r="J181" s="242"/>
      <c r="K181" s="243">
        <v>42227</v>
      </c>
      <c r="L181" s="243"/>
      <c r="M181" s="244" t="s">
        <v>217</v>
      </c>
      <c r="N181" s="244"/>
      <c r="O181" s="119">
        <v>0</v>
      </c>
      <c r="Q181" s="119">
        <v>0</v>
      </c>
      <c r="S181" s="240">
        <v>1</v>
      </c>
      <c r="T181" s="240"/>
      <c r="W181" s="119">
        <v>0</v>
      </c>
      <c r="Y181" s="119">
        <v>1</v>
      </c>
    </row>
    <row r="182" spans="1:25" ht="15" customHeight="1">
      <c r="A182" s="241">
        <v>138</v>
      </c>
      <c r="B182" s="241"/>
      <c r="C182" s="241"/>
      <c r="D182" s="118">
        <v>3158</v>
      </c>
      <c r="F182" s="242" t="s">
        <v>239</v>
      </c>
      <c r="G182" s="242"/>
      <c r="I182" s="242" t="s">
        <v>217</v>
      </c>
      <c r="J182" s="242"/>
      <c r="K182" s="243">
        <v>41078</v>
      </c>
      <c r="L182" s="243"/>
      <c r="M182" s="244" t="s">
        <v>97</v>
      </c>
      <c r="N182" s="244"/>
      <c r="O182" s="119">
        <v>0</v>
      </c>
      <c r="Q182" s="119">
        <v>1</v>
      </c>
      <c r="S182" s="240">
        <v>0</v>
      </c>
      <c r="T182" s="240"/>
      <c r="W182" s="119">
        <v>0</v>
      </c>
      <c r="Y182" s="119">
        <v>1</v>
      </c>
    </row>
    <row r="183" spans="1:25" ht="15" customHeight="1">
      <c r="A183" s="241">
        <v>139</v>
      </c>
      <c r="B183" s="241"/>
      <c r="C183" s="241"/>
      <c r="D183" s="118">
        <v>423</v>
      </c>
      <c r="F183" s="242" t="s">
        <v>240</v>
      </c>
      <c r="G183" s="242"/>
      <c r="I183" s="242" t="s">
        <v>217</v>
      </c>
      <c r="J183" s="242"/>
      <c r="K183" s="243">
        <v>44155</v>
      </c>
      <c r="L183" s="243"/>
      <c r="M183" s="244" t="s">
        <v>217</v>
      </c>
      <c r="N183" s="244"/>
      <c r="O183" s="119">
        <v>0</v>
      </c>
      <c r="Q183" s="119">
        <v>0</v>
      </c>
      <c r="S183" s="240">
        <v>1</v>
      </c>
      <c r="T183" s="240"/>
      <c r="W183" s="119">
        <v>0</v>
      </c>
      <c r="Y183" s="119">
        <v>1</v>
      </c>
    </row>
    <row r="184" spans="1:25" ht="15" customHeight="1">
      <c r="A184" s="241">
        <v>140</v>
      </c>
      <c r="B184" s="241"/>
      <c r="C184" s="241"/>
      <c r="D184" s="118">
        <v>3341</v>
      </c>
      <c r="F184" s="242" t="s">
        <v>241</v>
      </c>
      <c r="G184" s="242"/>
      <c r="I184" s="242" t="s">
        <v>217</v>
      </c>
      <c r="J184" s="242"/>
      <c r="K184" s="243">
        <v>43789</v>
      </c>
      <c r="L184" s="243"/>
      <c r="M184" s="244" t="s">
        <v>97</v>
      </c>
      <c r="N184" s="244"/>
      <c r="O184" s="119">
        <v>1</v>
      </c>
      <c r="Q184" s="119">
        <v>0</v>
      </c>
      <c r="S184" s="240">
        <v>0</v>
      </c>
      <c r="T184" s="240"/>
      <c r="W184" s="119">
        <v>0</v>
      </c>
      <c r="Y184" s="119">
        <v>1</v>
      </c>
    </row>
    <row r="185" spans="1:25" ht="15" customHeight="1">
      <c r="A185" s="241">
        <v>141</v>
      </c>
      <c r="B185" s="241"/>
      <c r="C185" s="241"/>
      <c r="D185" s="118">
        <v>438</v>
      </c>
      <c r="F185" s="242" t="s">
        <v>242</v>
      </c>
      <c r="G185" s="242"/>
      <c r="I185" s="242" t="s">
        <v>217</v>
      </c>
      <c r="J185" s="242"/>
      <c r="K185" s="243">
        <v>44207</v>
      </c>
      <c r="L185" s="243"/>
      <c r="M185" s="244" t="s">
        <v>217</v>
      </c>
      <c r="N185" s="244"/>
      <c r="O185" s="119">
        <v>1</v>
      </c>
      <c r="Q185" s="119">
        <v>0</v>
      </c>
      <c r="S185" s="240">
        <v>0</v>
      </c>
      <c r="T185" s="240"/>
      <c r="W185" s="119">
        <v>0</v>
      </c>
      <c r="Y185" s="119">
        <v>1</v>
      </c>
    </row>
    <row r="186" spans="1:25" ht="15" customHeight="1">
      <c r="A186" s="241">
        <v>142</v>
      </c>
      <c r="B186" s="241"/>
      <c r="C186" s="241"/>
      <c r="D186" s="118">
        <v>17</v>
      </c>
      <c r="F186" s="242" t="s">
        <v>243</v>
      </c>
      <c r="G186" s="242"/>
      <c r="I186" s="242" t="s">
        <v>217</v>
      </c>
      <c r="J186" s="242"/>
      <c r="K186" s="243">
        <v>40514</v>
      </c>
      <c r="L186" s="243"/>
      <c r="M186" s="244" t="s">
        <v>217</v>
      </c>
      <c r="N186" s="244"/>
      <c r="O186" s="119">
        <v>1</v>
      </c>
      <c r="Q186" s="119">
        <v>0</v>
      </c>
      <c r="S186" s="240">
        <v>0</v>
      </c>
      <c r="T186" s="240"/>
      <c r="W186" s="119">
        <v>0</v>
      </c>
      <c r="Y186" s="119">
        <v>1</v>
      </c>
    </row>
    <row r="187" spans="1:25" ht="15" customHeight="1">
      <c r="A187" s="241">
        <v>143</v>
      </c>
      <c r="B187" s="241"/>
      <c r="C187" s="241"/>
      <c r="D187" s="118">
        <v>452</v>
      </c>
      <c r="F187" s="242" t="s">
        <v>244</v>
      </c>
      <c r="G187" s="242"/>
      <c r="I187" s="242" t="s">
        <v>217</v>
      </c>
      <c r="J187" s="242"/>
      <c r="K187" s="243">
        <v>44247</v>
      </c>
      <c r="L187" s="243"/>
      <c r="M187" s="244" t="s">
        <v>217</v>
      </c>
      <c r="N187" s="244"/>
      <c r="O187" s="119">
        <v>0</v>
      </c>
      <c r="Q187" s="119">
        <v>1</v>
      </c>
      <c r="S187" s="240">
        <v>0</v>
      </c>
      <c r="T187" s="240"/>
      <c r="W187" s="119">
        <v>0</v>
      </c>
      <c r="Y187" s="119">
        <v>1</v>
      </c>
    </row>
    <row r="188" spans="1:25" ht="15" customHeight="1">
      <c r="A188" s="241">
        <v>144</v>
      </c>
      <c r="B188" s="241"/>
      <c r="C188" s="241"/>
      <c r="D188" s="118">
        <v>3156</v>
      </c>
      <c r="F188" s="242" t="s">
        <v>245</v>
      </c>
      <c r="G188" s="242"/>
      <c r="I188" s="242" t="s">
        <v>217</v>
      </c>
      <c r="J188" s="242"/>
      <c r="K188" s="243">
        <v>42142</v>
      </c>
      <c r="L188" s="243"/>
      <c r="M188" s="244" t="s">
        <v>97</v>
      </c>
      <c r="N188" s="244"/>
      <c r="O188" s="119">
        <v>1</v>
      </c>
      <c r="Q188" s="119">
        <v>0</v>
      </c>
      <c r="S188" s="240">
        <v>0</v>
      </c>
      <c r="T188" s="240"/>
      <c r="W188" s="119">
        <v>0</v>
      </c>
      <c r="Y188" s="119">
        <v>1</v>
      </c>
    </row>
    <row r="189" spans="1:25" ht="15" customHeight="1">
      <c r="A189" s="241">
        <v>145</v>
      </c>
      <c r="B189" s="241"/>
      <c r="C189" s="241"/>
      <c r="D189" s="118">
        <v>3190</v>
      </c>
      <c r="F189" s="242" t="s">
        <v>246</v>
      </c>
      <c r="G189" s="242"/>
      <c r="I189" s="242" t="s">
        <v>217</v>
      </c>
      <c r="J189" s="242"/>
      <c r="K189" s="243">
        <v>38370</v>
      </c>
      <c r="L189" s="243"/>
      <c r="M189" s="244" t="s">
        <v>97</v>
      </c>
      <c r="N189" s="244"/>
      <c r="O189" s="119">
        <v>1</v>
      </c>
      <c r="Q189" s="119">
        <v>0</v>
      </c>
      <c r="S189" s="240">
        <v>0</v>
      </c>
      <c r="T189" s="240"/>
      <c r="W189" s="119">
        <v>0</v>
      </c>
      <c r="Y189" s="119">
        <v>1</v>
      </c>
    </row>
    <row r="190" spans="1:25" ht="15" customHeight="1">
      <c r="A190" s="241">
        <v>146</v>
      </c>
      <c r="B190" s="241"/>
      <c r="C190" s="241"/>
      <c r="D190" s="118">
        <v>37</v>
      </c>
      <c r="F190" s="242" t="s">
        <v>247</v>
      </c>
      <c r="G190" s="242"/>
      <c r="I190" s="242" t="s">
        <v>217</v>
      </c>
      <c r="J190" s="242"/>
      <c r="K190" s="243">
        <v>41605</v>
      </c>
      <c r="L190" s="243"/>
      <c r="M190" s="244" t="s">
        <v>217</v>
      </c>
      <c r="N190" s="244"/>
      <c r="O190" s="119">
        <v>0</v>
      </c>
      <c r="Q190" s="119">
        <v>0</v>
      </c>
      <c r="S190" s="240">
        <v>1</v>
      </c>
      <c r="T190" s="240"/>
      <c r="W190" s="119">
        <v>0</v>
      </c>
      <c r="Y190" s="119">
        <v>1</v>
      </c>
    </row>
    <row r="191" spans="1:25" ht="15" customHeight="1">
      <c r="A191" s="241">
        <v>147</v>
      </c>
      <c r="B191" s="241"/>
      <c r="C191" s="241"/>
      <c r="D191" s="118">
        <v>3161</v>
      </c>
      <c r="F191" s="242" t="s">
        <v>248</v>
      </c>
      <c r="G191" s="242"/>
      <c r="I191" s="242" t="s">
        <v>217</v>
      </c>
      <c r="J191" s="242"/>
      <c r="K191" s="243">
        <v>41802</v>
      </c>
      <c r="L191" s="243"/>
      <c r="M191" s="244" t="s">
        <v>97</v>
      </c>
      <c r="N191" s="244"/>
      <c r="O191" s="119">
        <v>0</v>
      </c>
      <c r="Q191" s="119">
        <v>1</v>
      </c>
      <c r="S191" s="240">
        <v>0</v>
      </c>
      <c r="T191" s="240"/>
      <c r="W191" s="119">
        <v>0</v>
      </c>
      <c r="Y191" s="119">
        <v>1</v>
      </c>
    </row>
    <row r="192" spans="1:25" ht="15" customHeight="1"/>
    <row r="193" spans="1:25" ht="15" customHeight="1">
      <c r="N193" s="240">
        <v>18</v>
      </c>
      <c r="O193" s="240"/>
      <c r="P193" s="240">
        <v>11</v>
      </c>
      <c r="Q193" s="240"/>
      <c r="R193" s="240">
        <v>6</v>
      </c>
      <c r="S193" s="240"/>
      <c r="T193" s="240"/>
      <c r="V193" s="240">
        <v>0</v>
      </c>
      <c r="W193" s="240"/>
      <c r="X193" s="240">
        <v>35</v>
      </c>
      <c r="Y193" s="240"/>
    </row>
    <row r="194" spans="1:25" ht="15" customHeight="1">
      <c r="F194" s="245" t="s">
        <v>249</v>
      </c>
      <c r="G194" s="245"/>
      <c r="H194" s="245"/>
      <c r="I194" s="245"/>
    </row>
    <row r="195" spans="1:25" ht="15" customHeight="1">
      <c r="A195" s="241">
        <v>148</v>
      </c>
      <c r="B195" s="241"/>
      <c r="C195" s="241"/>
      <c r="D195" s="118">
        <v>5465</v>
      </c>
      <c r="F195" s="242" t="s">
        <v>250</v>
      </c>
      <c r="G195" s="242"/>
      <c r="I195" s="242" t="s">
        <v>249</v>
      </c>
      <c r="J195" s="242"/>
      <c r="K195" s="243">
        <v>43649</v>
      </c>
      <c r="L195" s="243"/>
      <c r="M195" s="244" t="s">
        <v>97</v>
      </c>
      <c r="N195" s="244"/>
      <c r="O195" s="119">
        <v>1</v>
      </c>
      <c r="Q195" s="119">
        <v>0</v>
      </c>
      <c r="S195" s="240">
        <v>0</v>
      </c>
      <c r="T195" s="240"/>
      <c r="W195" s="119">
        <v>0</v>
      </c>
      <c r="Y195" s="119">
        <v>1</v>
      </c>
    </row>
    <row r="196" spans="1:25" ht="15" customHeight="1">
      <c r="A196" s="241">
        <v>149</v>
      </c>
      <c r="B196" s="241"/>
      <c r="C196" s="241"/>
      <c r="D196" s="118">
        <v>199</v>
      </c>
      <c r="F196" s="242" t="s">
        <v>251</v>
      </c>
      <c r="G196" s="242"/>
      <c r="I196" s="242" t="s">
        <v>249</v>
      </c>
      <c r="J196" s="242"/>
      <c r="K196" s="243">
        <v>42929</v>
      </c>
      <c r="L196" s="243"/>
      <c r="M196" s="244" t="s">
        <v>97</v>
      </c>
      <c r="N196" s="244"/>
      <c r="O196" s="119">
        <v>1</v>
      </c>
      <c r="Q196" s="119">
        <v>0</v>
      </c>
      <c r="S196" s="240">
        <v>0</v>
      </c>
      <c r="T196" s="240"/>
      <c r="W196" s="119">
        <v>0</v>
      </c>
      <c r="Y196" s="119">
        <v>1</v>
      </c>
    </row>
    <row r="197" spans="1:25" ht="15" customHeight="1">
      <c r="A197" s="241">
        <v>150</v>
      </c>
      <c r="B197" s="241"/>
      <c r="C197" s="241"/>
      <c r="D197" s="118">
        <v>3313</v>
      </c>
      <c r="F197" s="242" t="s">
        <v>252</v>
      </c>
      <c r="G197" s="242"/>
      <c r="I197" s="242" t="s">
        <v>249</v>
      </c>
      <c r="J197" s="242"/>
      <c r="K197" s="243">
        <v>43593</v>
      </c>
      <c r="L197" s="243"/>
      <c r="M197" s="244" t="s">
        <v>97</v>
      </c>
      <c r="N197" s="244"/>
      <c r="O197" s="119">
        <v>1</v>
      </c>
      <c r="Q197" s="119">
        <v>0</v>
      </c>
      <c r="S197" s="240">
        <v>0</v>
      </c>
      <c r="T197" s="240"/>
      <c r="W197" s="119">
        <v>0</v>
      </c>
      <c r="Y197" s="119">
        <v>1</v>
      </c>
    </row>
    <row r="198" spans="1:25" ht="15" customHeight="1">
      <c r="A198" s="241">
        <v>151</v>
      </c>
      <c r="B198" s="241"/>
      <c r="C198" s="241"/>
      <c r="D198" s="118">
        <v>3022</v>
      </c>
      <c r="F198" s="242" t="s">
        <v>253</v>
      </c>
      <c r="G198" s="242"/>
      <c r="I198" s="242" t="s">
        <v>249</v>
      </c>
      <c r="J198" s="242"/>
      <c r="K198" s="243">
        <v>39175</v>
      </c>
      <c r="L198" s="243"/>
      <c r="M198" s="244" t="s">
        <v>97</v>
      </c>
      <c r="N198" s="244"/>
      <c r="O198" s="119">
        <v>1</v>
      </c>
      <c r="Q198" s="119">
        <v>0</v>
      </c>
      <c r="S198" s="240">
        <v>0</v>
      </c>
      <c r="T198" s="240"/>
      <c r="W198" s="119">
        <v>0</v>
      </c>
      <c r="Y198" s="119">
        <v>1</v>
      </c>
    </row>
    <row r="199" spans="1:25" ht="15" customHeight="1">
      <c r="A199" s="241">
        <v>152</v>
      </c>
      <c r="B199" s="241"/>
      <c r="C199" s="241"/>
      <c r="D199" s="118">
        <v>10162</v>
      </c>
      <c r="F199" s="242" t="s">
        <v>254</v>
      </c>
      <c r="G199" s="242"/>
      <c r="I199" s="242" t="s">
        <v>249</v>
      </c>
      <c r="J199" s="242"/>
      <c r="K199" s="243">
        <v>43428</v>
      </c>
      <c r="L199" s="243"/>
      <c r="M199" s="244" t="s">
        <v>99</v>
      </c>
      <c r="N199" s="244"/>
      <c r="O199" s="119">
        <v>1</v>
      </c>
      <c r="Q199" s="119">
        <v>0</v>
      </c>
      <c r="S199" s="240">
        <v>0</v>
      </c>
      <c r="T199" s="240"/>
      <c r="W199" s="119">
        <v>0</v>
      </c>
      <c r="Y199" s="119">
        <v>1</v>
      </c>
    </row>
    <row r="200" spans="1:25" ht="15" customHeight="1">
      <c r="A200" s="241">
        <v>153</v>
      </c>
      <c r="B200" s="241"/>
      <c r="C200" s="241"/>
      <c r="D200" s="118">
        <v>3038</v>
      </c>
      <c r="F200" s="242" t="s">
        <v>255</v>
      </c>
      <c r="G200" s="242"/>
      <c r="I200" s="242" t="s">
        <v>249</v>
      </c>
      <c r="J200" s="242"/>
      <c r="K200" s="243">
        <v>41078</v>
      </c>
      <c r="L200" s="243"/>
      <c r="M200" s="244" t="s">
        <v>97</v>
      </c>
      <c r="N200" s="244"/>
      <c r="O200" s="119">
        <v>1</v>
      </c>
      <c r="Q200" s="119">
        <v>0</v>
      </c>
      <c r="S200" s="240">
        <v>0</v>
      </c>
      <c r="T200" s="240"/>
      <c r="W200" s="119">
        <v>0</v>
      </c>
      <c r="Y200" s="119">
        <v>1</v>
      </c>
    </row>
    <row r="201" spans="1:25" ht="15" customHeight="1">
      <c r="A201" s="241">
        <v>154</v>
      </c>
      <c r="B201" s="241"/>
      <c r="C201" s="241"/>
      <c r="D201" s="118">
        <v>3306</v>
      </c>
      <c r="F201" s="242" t="s">
        <v>256</v>
      </c>
      <c r="G201" s="242"/>
      <c r="I201" s="242" t="s">
        <v>249</v>
      </c>
      <c r="J201" s="242"/>
      <c r="K201" s="243">
        <v>43648</v>
      </c>
      <c r="L201" s="243"/>
      <c r="M201" s="244" t="s">
        <v>97</v>
      </c>
      <c r="N201" s="244"/>
      <c r="O201" s="119">
        <v>1</v>
      </c>
      <c r="Q201" s="119">
        <v>0</v>
      </c>
      <c r="S201" s="240">
        <v>0</v>
      </c>
      <c r="T201" s="240"/>
      <c r="W201" s="119">
        <v>0</v>
      </c>
      <c r="Y201" s="119">
        <v>1</v>
      </c>
    </row>
    <row r="202" spans="1:25" ht="15" customHeight="1">
      <c r="A202" s="241">
        <v>155</v>
      </c>
      <c r="B202" s="241"/>
      <c r="C202" s="241"/>
      <c r="D202" s="118">
        <v>3025</v>
      </c>
      <c r="F202" s="242" t="s">
        <v>257</v>
      </c>
      <c r="G202" s="242"/>
      <c r="I202" s="242" t="s">
        <v>249</v>
      </c>
      <c r="J202" s="242"/>
      <c r="K202" s="243">
        <v>40003</v>
      </c>
      <c r="L202" s="243"/>
      <c r="M202" s="244" t="s">
        <v>97</v>
      </c>
      <c r="N202" s="244"/>
      <c r="O202" s="119">
        <v>1</v>
      </c>
      <c r="Q202" s="119">
        <v>0</v>
      </c>
      <c r="S202" s="240">
        <v>0</v>
      </c>
      <c r="T202" s="240"/>
      <c r="W202" s="119">
        <v>0</v>
      </c>
      <c r="Y202" s="119">
        <v>1</v>
      </c>
    </row>
    <row r="203" spans="1:25" ht="15" customHeight="1">
      <c r="A203" s="241">
        <v>156</v>
      </c>
      <c r="B203" s="241"/>
      <c r="C203" s="241"/>
      <c r="D203" s="118">
        <v>5280</v>
      </c>
      <c r="F203" s="242" t="s">
        <v>258</v>
      </c>
      <c r="G203" s="242"/>
      <c r="I203" s="242" t="s">
        <v>249</v>
      </c>
      <c r="J203" s="242"/>
      <c r="K203" s="243">
        <v>43514</v>
      </c>
      <c r="L203" s="243"/>
      <c r="M203" s="244" t="s">
        <v>97</v>
      </c>
      <c r="N203" s="244"/>
      <c r="O203" s="119">
        <v>1</v>
      </c>
      <c r="Q203" s="119">
        <v>0</v>
      </c>
      <c r="S203" s="240">
        <v>0</v>
      </c>
      <c r="T203" s="240"/>
      <c r="W203" s="119">
        <v>0</v>
      </c>
      <c r="Y203" s="119">
        <v>1</v>
      </c>
    </row>
    <row r="204" spans="1:25" ht="15" customHeight="1">
      <c r="A204" s="241">
        <v>157</v>
      </c>
      <c r="B204" s="241"/>
      <c r="C204" s="241"/>
      <c r="D204" s="118">
        <v>10172</v>
      </c>
      <c r="F204" s="242" t="s">
        <v>259</v>
      </c>
      <c r="G204" s="242"/>
      <c r="I204" s="242" t="s">
        <v>249</v>
      </c>
      <c r="J204" s="242"/>
      <c r="K204" s="243">
        <v>42430</v>
      </c>
      <c r="L204" s="243"/>
      <c r="M204" s="244" t="s">
        <v>99</v>
      </c>
      <c r="N204" s="244"/>
      <c r="O204" s="119">
        <v>1</v>
      </c>
      <c r="Q204" s="119">
        <v>0</v>
      </c>
      <c r="S204" s="240">
        <v>0</v>
      </c>
      <c r="T204" s="240"/>
      <c r="W204" s="119">
        <v>0</v>
      </c>
      <c r="Y204" s="119">
        <v>1</v>
      </c>
    </row>
    <row r="205" spans="1:25" ht="15" customHeight="1"/>
    <row r="206" spans="1:25" ht="15" customHeight="1">
      <c r="N206" s="240">
        <v>10</v>
      </c>
      <c r="O206" s="240"/>
      <c r="P206" s="240">
        <v>0</v>
      </c>
      <c r="Q206" s="240"/>
      <c r="R206" s="240">
        <v>0</v>
      </c>
      <c r="S206" s="240"/>
      <c r="T206" s="240"/>
      <c r="V206" s="240">
        <v>0</v>
      </c>
      <c r="W206" s="240"/>
      <c r="X206" s="240">
        <v>10</v>
      </c>
      <c r="Y206" s="240"/>
    </row>
    <row r="207" spans="1:25" ht="15" customHeight="1">
      <c r="F207" s="245" t="s">
        <v>260</v>
      </c>
      <c r="G207" s="245"/>
      <c r="H207" s="245"/>
      <c r="I207" s="245"/>
    </row>
    <row r="208" spans="1:25" ht="15" customHeight="1">
      <c r="A208" s="241">
        <v>158</v>
      </c>
      <c r="B208" s="241"/>
      <c r="C208" s="241"/>
      <c r="D208" s="118">
        <v>5279</v>
      </c>
      <c r="F208" s="242" t="s">
        <v>261</v>
      </c>
      <c r="G208" s="242"/>
      <c r="I208" s="242" t="s">
        <v>260</v>
      </c>
      <c r="J208" s="242"/>
      <c r="K208" s="243">
        <v>43514</v>
      </c>
      <c r="L208" s="243"/>
      <c r="M208" s="244" t="s">
        <v>97</v>
      </c>
      <c r="N208" s="244"/>
      <c r="O208" s="119">
        <v>1</v>
      </c>
      <c r="Q208" s="119">
        <v>0</v>
      </c>
      <c r="S208" s="240">
        <v>0</v>
      </c>
      <c r="T208" s="240"/>
      <c r="W208" s="119">
        <v>0</v>
      </c>
      <c r="Y208" s="119">
        <v>1</v>
      </c>
    </row>
    <row r="209" spans="1:25" ht="15" customHeight="1">
      <c r="A209" s="241">
        <v>159</v>
      </c>
      <c r="B209" s="241"/>
      <c r="C209" s="241"/>
      <c r="D209" s="118">
        <v>3271</v>
      </c>
      <c r="F209" s="242" t="s">
        <v>262</v>
      </c>
      <c r="G209" s="242"/>
      <c r="I209" s="242" t="s">
        <v>260</v>
      </c>
      <c r="J209" s="242"/>
      <c r="K209" s="243">
        <v>43000</v>
      </c>
      <c r="L209" s="243"/>
      <c r="M209" s="244" t="s">
        <v>97</v>
      </c>
      <c r="N209" s="244"/>
      <c r="O209" s="119">
        <v>1</v>
      </c>
      <c r="Q209" s="119">
        <v>0</v>
      </c>
      <c r="S209" s="240">
        <v>0</v>
      </c>
      <c r="T209" s="240"/>
      <c r="W209" s="119">
        <v>0</v>
      </c>
      <c r="Y209" s="119">
        <v>1</v>
      </c>
    </row>
    <row r="210" spans="1:25" ht="15" customHeight="1">
      <c r="A210" s="241">
        <v>160</v>
      </c>
      <c r="B210" s="241"/>
      <c r="C210" s="241"/>
      <c r="D210" s="118">
        <v>6190</v>
      </c>
      <c r="F210" s="242" t="s">
        <v>263</v>
      </c>
      <c r="G210" s="242"/>
      <c r="I210" s="242" t="s">
        <v>260</v>
      </c>
      <c r="J210" s="242"/>
      <c r="K210" s="243">
        <v>44263</v>
      </c>
      <c r="L210" s="243"/>
      <c r="M210" s="244" t="s">
        <v>97</v>
      </c>
      <c r="N210" s="244"/>
      <c r="O210" s="119">
        <v>1</v>
      </c>
      <c r="Q210" s="119">
        <v>0</v>
      </c>
      <c r="S210" s="240">
        <v>0</v>
      </c>
      <c r="T210" s="240"/>
      <c r="W210" s="119">
        <v>0</v>
      </c>
      <c r="Y210" s="119">
        <v>1</v>
      </c>
    </row>
    <row r="211" spans="1:25" ht="15" customHeight="1"/>
    <row r="212" spans="1:25" ht="15" customHeight="1">
      <c r="N212" s="240">
        <v>3</v>
      </c>
      <c r="O212" s="240"/>
      <c r="P212" s="240">
        <v>0</v>
      </c>
      <c r="Q212" s="240"/>
      <c r="R212" s="240">
        <v>0</v>
      </c>
      <c r="S212" s="240"/>
      <c r="T212" s="240"/>
      <c r="V212" s="240">
        <v>0</v>
      </c>
      <c r="W212" s="240"/>
      <c r="X212" s="240">
        <v>3</v>
      </c>
      <c r="Y212" s="240"/>
    </row>
    <row r="213" spans="1:25" ht="15" customHeight="1">
      <c r="F213" s="245" t="s">
        <v>264</v>
      </c>
      <c r="G213" s="245"/>
      <c r="H213" s="245"/>
      <c r="I213" s="245"/>
    </row>
    <row r="214" spans="1:25" ht="15" customHeight="1">
      <c r="A214" s="241">
        <v>161</v>
      </c>
      <c r="B214" s="241"/>
      <c r="C214" s="241"/>
      <c r="D214" s="118">
        <v>3073</v>
      </c>
      <c r="F214" s="242" t="s">
        <v>265</v>
      </c>
      <c r="G214" s="242"/>
      <c r="I214" s="242" t="s">
        <v>264</v>
      </c>
      <c r="J214" s="242"/>
      <c r="K214" s="243">
        <v>41019</v>
      </c>
      <c r="L214" s="243"/>
      <c r="M214" s="244" t="s">
        <v>97</v>
      </c>
      <c r="N214" s="244"/>
      <c r="O214" s="119">
        <v>0</v>
      </c>
      <c r="Q214" s="119">
        <v>1</v>
      </c>
      <c r="S214" s="240">
        <v>0</v>
      </c>
      <c r="T214" s="240"/>
      <c r="W214" s="119">
        <v>0</v>
      </c>
      <c r="Y214" s="119">
        <v>1</v>
      </c>
    </row>
    <row r="215" spans="1:25" ht="15" customHeight="1">
      <c r="A215" s="241">
        <v>162</v>
      </c>
      <c r="B215" s="241"/>
      <c r="C215" s="241"/>
      <c r="D215" s="118">
        <v>3145</v>
      </c>
      <c r="F215" s="242" t="s">
        <v>266</v>
      </c>
      <c r="G215" s="242"/>
      <c r="I215" s="242" t="s">
        <v>264</v>
      </c>
      <c r="J215" s="242"/>
      <c r="K215" s="243">
        <v>38305</v>
      </c>
      <c r="L215" s="243"/>
      <c r="M215" s="244" t="s">
        <v>97</v>
      </c>
      <c r="N215" s="244"/>
      <c r="O215" s="119">
        <v>0</v>
      </c>
      <c r="Q215" s="119">
        <v>0</v>
      </c>
      <c r="S215" s="240">
        <v>1</v>
      </c>
      <c r="T215" s="240"/>
      <c r="W215" s="119">
        <v>0</v>
      </c>
      <c r="Y215" s="119">
        <v>1</v>
      </c>
    </row>
    <row r="216" spans="1:25" ht="15" customHeight="1">
      <c r="A216" s="241">
        <v>163</v>
      </c>
      <c r="B216" s="241"/>
      <c r="C216" s="241"/>
      <c r="D216" s="118">
        <v>3268</v>
      </c>
      <c r="F216" s="242" t="s">
        <v>267</v>
      </c>
      <c r="G216" s="242"/>
      <c r="I216" s="242" t="s">
        <v>264</v>
      </c>
      <c r="J216" s="242"/>
      <c r="K216" s="243">
        <v>43045</v>
      </c>
      <c r="L216" s="243"/>
      <c r="M216" s="244" t="s">
        <v>97</v>
      </c>
      <c r="N216" s="244"/>
      <c r="O216" s="119">
        <v>1</v>
      </c>
      <c r="Q216" s="119">
        <v>0</v>
      </c>
      <c r="S216" s="240">
        <v>0</v>
      </c>
      <c r="T216" s="240"/>
      <c r="W216" s="119">
        <v>0</v>
      </c>
      <c r="Y216" s="119">
        <v>1</v>
      </c>
    </row>
    <row r="217" spans="1:25" ht="15" customHeight="1">
      <c r="A217" s="241">
        <v>164</v>
      </c>
      <c r="B217" s="241"/>
      <c r="C217" s="241"/>
      <c r="D217" s="118">
        <v>3075</v>
      </c>
      <c r="F217" s="242" t="s">
        <v>268</v>
      </c>
      <c r="G217" s="242"/>
      <c r="I217" s="242" t="s">
        <v>264</v>
      </c>
      <c r="J217" s="242"/>
      <c r="K217" s="243">
        <v>41024</v>
      </c>
      <c r="L217" s="243"/>
      <c r="M217" s="244" t="s">
        <v>97</v>
      </c>
      <c r="N217" s="244"/>
      <c r="O217" s="119">
        <v>0</v>
      </c>
      <c r="Q217" s="119">
        <v>1</v>
      </c>
      <c r="S217" s="240">
        <v>0</v>
      </c>
      <c r="T217" s="240"/>
      <c r="W217" s="119">
        <v>0</v>
      </c>
      <c r="Y217" s="119">
        <v>1</v>
      </c>
    </row>
    <row r="218" spans="1:25" ht="15" customHeight="1">
      <c r="A218" s="241">
        <v>165</v>
      </c>
      <c r="B218" s="241"/>
      <c r="C218" s="241"/>
      <c r="D218" s="118">
        <v>3127</v>
      </c>
      <c r="F218" s="242" t="s">
        <v>269</v>
      </c>
      <c r="G218" s="242"/>
      <c r="I218" s="242" t="s">
        <v>264</v>
      </c>
      <c r="J218" s="242"/>
      <c r="K218" s="243">
        <v>38054</v>
      </c>
      <c r="L218" s="243"/>
      <c r="M218" s="244" t="s">
        <v>97</v>
      </c>
      <c r="N218" s="244"/>
      <c r="O218" s="119">
        <v>0</v>
      </c>
      <c r="Q218" s="119">
        <v>0</v>
      </c>
      <c r="S218" s="240">
        <v>1</v>
      </c>
      <c r="T218" s="240"/>
      <c r="W218" s="119">
        <v>0</v>
      </c>
      <c r="Y218" s="119">
        <v>1</v>
      </c>
    </row>
    <row r="219" spans="1:25" ht="15" customHeight="1">
      <c r="A219" s="241">
        <v>166</v>
      </c>
      <c r="B219" s="241"/>
      <c r="C219" s="241"/>
      <c r="D219" s="118">
        <v>5458</v>
      </c>
      <c r="F219" s="242" t="s">
        <v>270</v>
      </c>
      <c r="G219" s="242"/>
      <c r="I219" s="242" t="s">
        <v>264</v>
      </c>
      <c r="J219" s="242"/>
      <c r="K219" s="243">
        <v>42041</v>
      </c>
      <c r="L219" s="243"/>
      <c r="M219" s="244" t="s">
        <v>97</v>
      </c>
      <c r="N219" s="244"/>
      <c r="O219" s="119">
        <v>1</v>
      </c>
      <c r="Q219" s="119">
        <v>0</v>
      </c>
      <c r="S219" s="240">
        <v>0</v>
      </c>
      <c r="T219" s="240"/>
      <c r="W219" s="119">
        <v>0</v>
      </c>
      <c r="Y219" s="119">
        <v>1</v>
      </c>
    </row>
    <row r="220" spans="1:25" ht="15" customHeight="1"/>
    <row r="221" spans="1:25" ht="15" customHeight="1">
      <c r="N221" s="240">
        <v>2</v>
      </c>
      <c r="O221" s="240"/>
      <c r="P221" s="240">
        <v>2</v>
      </c>
      <c r="Q221" s="240"/>
      <c r="R221" s="240">
        <v>2</v>
      </c>
      <c r="S221" s="240"/>
      <c r="T221" s="240"/>
      <c r="V221" s="240">
        <v>0</v>
      </c>
      <c r="W221" s="240"/>
      <c r="X221" s="240">
        <v>6</v>
      </c>
      <c r="Y221" s="240"/>
    </row>
    <row r="222" spans="1:25" ht="15" customHeight="1">
      <c r="F222" s="245" t="s">
        <v>271</v>
      </c>
      <c r="G222" s="245"/>
      <c r="H222" s="245"/>
      <c r="I222" s="245"/>
    </row>
    <row r="223" spans="1:25" ht="15" customHeight="1">
      <c r="A223" s="241">
        <v>167</v>
      </c>
      <c r="B223" s="241"/>
      <c r="C223" s="241"/>
      <c r="D223" s="118">
        <v>3257</v>
      </c>
      <c r="F223" s="242" t="s">
        <v>272</v>
      </c>
      <c r="G223" s="242"/>
      <c r="I223" s="242" t="s">
        <v>271</v>
      </c>
      <c r="J223" s="242"/>
      <c r="K223" s="243">
        <v>42905</v>
      </c>
      <c r="L223" s="243"/>
      <c r="M223" s="244" t="s">
        <v>97</v>
      </c>
      <c r="N223" s="244"/>
      <c r="O223" s="119">
        <v>1</v>
      </c>
      <c r="Q223" s="119">
        <v>0</v>
      </c>
      <c r="S223" s="240">
        <v>0</v>
      </c>
      <c r="T223" s="240"/>
      <c r="W223" s="119">
        <v>0</v>
      </c>
      <c r="Y223" s="119">
        <v>1</v>
      </c>
    </row>
    <row r="224" spans="1:25" ht="15" customHeight="1">
      <c r="A224" s="241">
        <v>168</v>
      </c>
      <c r="B224" s="241"/>
      <c r="C224" s="241"/>
      <c r="D224" s="118">
        <v>3047</v>
      </c>
      <c r="F224" s="242" t="s">
        <v>273</v>
      </c>
      <c r="G224" s="242"/>
      <c r="I224" s="242" t="s">
        <v>271</v>
      </c>
      <c r="J224" s="242"/>
      <c r="K224" s="243">
        <v>41948</v>
      </c>
      <c r="L224" s="243"/>
      <c r="M224" s="244" t="s">
        <v>97</v>
      </c>
      <c r="N224" s="244"/>
      <c r="O224" s="119">
        <v>1</v>
      </c>
      <c r="Q224" s="119">
        <v>0</v>
      </c>
      <c r="S224" s="240">
        <v>0</v>
      </c>
      <c r="T224" s="240"/>
      <c r="W224" s="119">
        <v>0</v>
      </c>
      <c r="Y224" s="119">
        <v>1</v>
      </c>
    </row>
    <row r="225" spans="1:25" ht="15" customHeight="1"/>
    <row r="226" spans="1:25" ht="15" customHeight="1">
      <c r="N226" s="240">
        <v>2</v>
      </c>
      <c r="O226" s="240"/>
      <c r="P226" s="240">
        <v>0</v>
      </c>
      <c r="Q226" s="240"/>
      <c r="R226" s="240">
        <v>0</v>
      </c>
      <c r="S226" s="240"/>
      <c r="T226" s="240"/>
      <c r="V226" s="240">
        <v>0</v>
      </c>
      <c r="W226" s="240"/>
      <c r="X226" s="240">
        <v>2</v>
      </c>
      <c r="Y226" s="240"/>
    </row>
    <row r="227" spans="1:25" ht="15" customHeight="1">
      <c r="F227" s="245" t="s">
        <v>274</v>
      </c>
      <c r="G227" s="245"/>
      <c r="H227" s="245"/>
      <c r="I227" s="245"/>
    </row>
    <row r="228" spans="1:25" ht="15" customHeight="1">
      <c r="A228" s="241">
        <v>169</v>
      </c>
      <c r="B228" s="241"/>
      <c r="C228" s="241"/>
      <c r="D228" s="118">
        <v>3248</v>
      </c>
      <c r="F228" s="242" t="s">
        <v>275</v>
      </c>
      <c r="G228" s="242"/>
      <c r="I228" s="242" t="s">
        <v>274</v>
      </c>
      <c r="J228" s="242"/>
      <c r="K228" s="243">
        <v>42342</v>
      </c>
      <c r="L228" s="243"/>
      <c r="M228" s="244" t="s">
        <v>97</v>
      </c>
      <c r="N228" s="244"/>
      <c r="O228" s="119">
        <v>1</v>
      </c>
      <c r="Q228" s="119">
        <v>0</v>
      </c>
      <c r="S228" s="240">
        <v>0</v>
      </c>
      <c r="T228" s="240"/>
      <c r="W228" s="119">
        <v>0</v>
      </c>
      <c r="Y228" s="119">
        <v>1</v>
      </c>
    </row>
    <row r="229" spans="1:25" ht="15" customHeight="1">
      <c r="A229" s="241">
        <v>170</v>
      </c>
      <c r="B229" s="241"/>
      <c r="C229" s="241"/>
      <c r="D229" s="118">
        <v>3027</v>
      </c>
      <c r="F229" s="242" t="s">
        <v>276</v>
      </c>
      <c r="G229" s="242"/>
      <c r="I229" s="242" t="s">
        <v>274</v>
      </c>
      <c r="J229" s="242"/>
      <c r="K229" s="243">
        <v>40143</v>
      </c>
      <c r="L229" s="243"/>
      <c r="M229" s="244" t="s">
        <v>97</v>
      </c>
      <c r="N229" s="244"/>
      <c r="O229" s="119">
        <v>1</v>
      </c>
      <c r="Q229" s="119">
        <v>0</v>
      </c>
      <c r="S229" s="240">
        <v>0</v>
      </c>
      <c r="T229" s="240"/>
      <c r="W229" s="119">
        <v>0</v>
      </c>
      <c r="Y229" s="119">
        <v>1</v>
      </c>
    </row>
    <row r="230" spans="1:25" ht="15" customHeight="1">
      <c r="A230" s="241">
        <v>171</v>
      </c>
      <c r="B230" s="241"/>
      <c r="C230" s="241"/>
      <c r="D230" s="118">
        <v>3013</v>
      </c>
      <c r="F230" s="242" t="s">
        <v>277</v>
      </c>
      <c r="G230" s="242"/>
      <c r="I230" s="242" t="s">
        <v>274</v>
      </c>
      <c r="J230" s="242"/>
      <c r="K230" s="243">
        <v>37131</v>
      </c>
      <c r="L230" s="243"/>
      <c r="M230" s="244" t="s">
        <v>97</v>
      </c>
      <c r="N230" s="244"/>
      <c r="O230" s="119">
        <v>1</v>
      </c>
      <c r="Q230" s="119">
        <v>0</v>
      </c>
      <c r="S230" s="240">
        <v>0</v>
      </c>
      <c r="T230" s="240"/>
      <c r="W230" s="119">
        <v>0</v>
      </c>
      <c r="Y230" s="119">
        <v>1</v>
      </c>
    </row>
    <row r="231" spans="1:25" ht="15" customHeight="1"/>
    <row r="232" spans="1:25" ht="15" customHeight="1">
      <c r="N232" s="240">
        <v>3</v>
      </c>
      <c r="O232" s="240"/>
      <c r="P232" s="240">
        <v>0</v>
      </c>
      <c r="Q232" s="240"/>
      <c r="R232" s="240">
        <v>0</v>
      </c>
      <c r="S232" s="240"/>
      <c r="T232" s="240"/>
      <c r="V232" s="240">
        <v>0</v>
      </c>
      <c r="W232" s="240"/>
      <c r="X232" s="240">
        <v>3</v>
      </c>
      <c r="Y232" s="240"/>
    </row>
    <row r="233" spans="1:25" ht="15" customHeight="1">
      <c r="F233" s="245" t="s">
        <v>278</v>
      </c>
      <c r="G233" s="245"/>
      <c r="H233" s="245"/>
      <c r="I233" s="245"/>
    </row>
    <row r="234" spans="1:25" ht="15" customHeight="1">
      <c r="A234" s="241">
        <v>172</v>
      </c>
      <c r="B234" s="241"/>
      <c r="C234" s="241"/>
      <c r="D234" s="118">
        <v>16638</v>
      </c>
      <c r="F234" s="242" t="s">
        <v>279</v>
      </c>
      <c r="G234" s="242"/>
      <c r="I234" s="242" t="s">
        <v>278</v>
      </c>
      <c r="J234" s="242"/>
      <c r="K234" s="243">
        <v>44228</v>
      </c>
      <c r="L234" s="243"/>
      <c r="M234" s="244" t="s">
        <v>99</v>
      </c>
      <c r="N234" s="244"/>
      <c r="O234" s="119">
        <v>1</v>
      </c>
      <c r="Q234" s="119">
        <v>0</v>
      </c>
      <c r="S234" s="240">
        <v>0</v>
      </c>
      <c r="T234" s="240"/>
      <c r="W234" s="119">
        <v>0</v>
      </c>
      <c r="Y234" s="119">
        <v>1</v>
      </c>
    </row>
    <row r="235" spans="1:25" ht="15" customHeight="1">
      <c r="A235" s="241">
        <v>173</v>
      </c>
      <c r="B235" s="241"/>
      <c r="C235" s="241"/>
      <c r="D235" s="118">
        <v>16605</v>
      </c>
      <c r="F235" s="242" t="s">
        <v>280</v>
      </c>
      <c r="G235" s="242"/>
      <c r="I235" s="242" t="s">
        <v>278</v>
      </c>
      <c r="J235" s="242"/>
      <c r="K235" s="243">
        <v>44175</v>
      </c>
      <c r="L235" s="243"/>
      <c r="M235" s="244" t="s">
        <v>99</v>
      </c>
      <c r="N235" s="244"/>
      <c r="O235" s="119">
        <v>1</v>
      </c>
      <c r="Q235" s="119">
        <v>0</v>
      </c>
      <c r="S235" s="240">
        <v>0</v>
      </c>
      <c r="T235" s="240"/>
      <c r="W235" s="119">
        <v>0</v>
      </c>
      <c r="Y235" s="119">
        <v>1</v>
      </c>
    </row>
    <row r="236" spans="1:25" ht="15" customHeight="1"/>
    <row r="237" spans="1:25" ht="15" customHeight="1">
      <c r="N237" s="240">
        <v>2</v>
      </c>
      <c r="O237" s="240"/>
      <c r="P237" s="240">
        <v>0</v>
      </c>
      <c r="Q237" s="240"/>
      <c r="R237" s="240">
        <v>0</v>
      </c>
      <c r="S237" s="240"/>
      <c r="T237" s="240"/>
      <c r="V237" s="240">
        <v>0</v>
      </c>
      <c r="W237" s="240"/>
      <c r="X237" s="240">
        <v>2</v>
      </c>
      <c r="Y237" s="240"/>
    </row>
    <row r="238" spans="1:25" ht="15" customHeight="1">
      <c r="F238" s="245" t="s">
        <v>281</v>
      </c>
      <c r="G238" s="245"/>
      <c r="H238" s="245"/>
      <c r="I238" s="245"/>
    </row>
    <row r="239" spans="1:25" ht="15" customHeight="1">
      <c r="A239" s="241">
        <v>174</v>
      </c>
      <c r="B239" s="241"/>
      <c r="C239" s="241"/>
      <c r="D239" s="118">
        <v>3097</v>
      </c>
      <c r="F239" s="242" t="s">
        <v>282</v>
      </c>
      <c r="G239" s="242"/>
      <c r="I239" s="242" t="s">
        <v>281</v>
      </c>
      <c r="J239" s="242"/>
      <c r="K239" s="243">
        <v>41828</v>
      </c>
      <c r="L239" s="243"/>
      <c r="M239" s="244" t="s">
        <v>97</v>
      </c>
      <c r="N239" s="244"/>
      <c r="O239" s="119">
        <v>1</v>
      </c>
      <c r="Q239" s="119">
        <v>0</v>
      </c>
      <c r="S239" s="240">
        <v>0</v>
      </c>
      <c r="T239" s="240"/>
      <c r="W239" s="119">
        <v>0</v>
      </c>
      <c r="Y239" s="119">
        <v>1</v>
      </c>
    </row>
    <row r="240" spans="1:25" ht="15" customHeight="1">
      <c r="A240" s="241">
        <v>175</v>
      </c>
      <c r="B240" s="241"/>
      <c r="C240" s="241"/>
      <c r="D240" s="118">
        <v>3278</v>
      </c>
      <c r="F240" s="242" t="s">
        <v>283</v>
      </c>
      <c r="G240" s="242"/>
      <c r="I240" s="242" t="s">
        <v>281</v>
      </c>
      <c r="J240" s="242"/>
      <c r="K240" s="243">
        <v>43200</v>
      </c>
      <c r="L240" s="243"/>
      <c r="M240" s="244" t="s">
        <v>97</v>
      </c>
      <c r="N240" s="244"/>
      <c r="O240" s="119">
        <v>1</v>
      </c>
      <c r="Q240" s="119">
        <v>0</v>
      </c>
      <c r="S240" s="240">
        <v>0</v>
      </c>
      <c r="T240" s="240"/>
      <c r="W240" s="119">
        <v>0</v>
      </c>
      <c r="Y240" s="119">
        <v>1</v>
      </c>
    </row>
    <row r="241" spans="1:25" ht="15" customHeight="1">
      <c r="A241" s="241">
        <v>176</v>
      </c>
      <c r="B241" s="241"/>
      <c r="C241" s="241"/>
      <c r="D241" s="118">
        <v>3311</v>
      </c>
      <c r="F241" s="242" t="s">
        <v>284</v>
      </c>
      <c r="G241" s="242"/>
      <c r="I241" s="242" t="s">
        <v>281</v>
      </c>
      <c r="J241" s="242"/>
      <c r="K241" s="243">
        <v>43195</v>
      </c>
      <c r="L241" s="243"/>
      <c r="M241" s="244" t="s">
        <v>97</v>
      </c>
      <c r="N241" s="244"/>
      <c r="O241" s="119">
        <v>1</v>
      </c>
      <c r="Q241" s="119">
        <v>0</v>
      </c>
      <c r="S241" s="240">
        <v>0</v>
      </c>
      <c r="T241" s="240"/>
      <c r="W241" s="119">
        <v>0</v>
      </c>
      <c r="Y241" s="119">
        <v>1</v>
      </c>
    </row>
    <row r="242" spans="1:25" ht="15" customHeight="1">
      <c r="A242" s="241">
        <v>177</v>
      </c>
      <c r="B242" s="241"/>
      <c r="C242" s="241"/>
      <c r="D242" s="118">
        <v>3312</v>
      </c>
      <c r="F242" s="242" t="s">
        <v>285</v>
      </c>
      <c r="G242" s="242"/>
      <c r="I242" s="242" t="s">
        <v>281</v>
      </c>
      <c r="J242" s="242"/>
      <c r="K242" s="243">
        <v>43455</v>
      </c>
      <c r="L242" s="243"/>
      <c r="M242" s="244" t="s">
        <v>97</v>
      </c>
      <c r="N242" s="244"/>
      <c r="O242" s="119">
        <v>1</v>
      </c>
      <c r="Q242" s="119">
        <v>0</v>
      </c>
      <c r="S242" s="240">
        <v>0</v>
      </c>
      <c r="T242" s="240"/>
      <c r="W242" s="119">
        <v>0</v>
      </c>
      <c r="Y242" s="119">
        <v>1</v>
      </c>
    </row>
    <row r="243" spans="1:25" ht="15" customHeight="1">
      <c r="A243" s="241">
        <v>178</v>
      </c>
      <c r="B243" s="241"/>
      <c r="C243" s="241"/>
      <c r="D243" s="118">
        <v>3287</v>
      </c>
      <c r="F243" s="242" t="s">
        <v>286</v>
      </c>
      <c r="G243" s="242"/>
      <c r="I243" s="242" t="s">
        <v>281</v>
      </c>
      <c r="J243" s="242"/>
      <c r="K243" s="243">
        <v>43271</v>
      </c>
      <c r="L243" s="243"/>
      <c r="M243" s="244" t="s">
        <v>97</v>
      </c>
      <c r="N243" s="244"/>
      <c r="O243" s="119">
        <v>1</v>
      </c>
      <c r="Q243" s="119">
        <v>0</v>
      </c>
      <c r="S243" s="240">
        <v>0</v>
      </c>
      <c r="T243" s="240"/>
      <c r="W243" s="119">
        <v>0</v>
      </c>
      <c r="Y243" s="119">
        <v>1</v>
      </c>
    </row>
    <row r="244" spans="1:25" ht="15" customHeight="1">
      <c r="A244" s="241">
        <v>179</v>
      </c>
      <c r="B244" s="241"/>
      <c r="C244" s="241"/>
      <c r="D244" s="118">
        <v>3120</v>
      </c>
      <c r="F244" s="242" t="s">
        <v>287</v>
      </c>
      <c r="G244" s="242"/>
      <c r="I244" s="242" t="s">
        <v>281</v>
      </c>
      <c r="J244" s="242"/>
      <c r="K244" s="243">
        <v>42324</v>
      </c>
      <c r="L244" s="243"/>
      <c r="M244" s="244" t="s">
        <v>97</v>
      </c>
      <c r="N244" s="244"/>
      <c r="O244" s="119">
        <v>1</v>
      </c>
      <c r="Q244" s="119">
        <v>0</v>
      </c>
      <c r="S244" s="240">
        <v>0</v>
      </c>
      <c r="T244" s="240"/>
      <c r="W244" s="119">
        <v>0</v>
      </c>
      <c r="Y244" s="119">
        <v>1</v>
      </c>
    </row>
    <row r="245" spans="1:25" ht="15" customHeight="1">
      <c r="A245" s="241">
        <v>180</v>
      </c>
      <c r="B245" s="241"/>
      <c r="C245" s="241"/>
      <c r="D245" s="118">
        <v>3284</v>
      </c>
      <c r="F245" s="242" t="s">
        <v>288</v>
      </c>
      <c r="G245" s="242"/>
      <c r="I245" s="242" t="s">
        <v>281</v>
      </c>
      <c r="J245" s="242"/>
      <c r="K245" s="243">
        <v>43052</v>
      </c>
      <c r="L245" s="243"/>
      <c r="M245" s="244" t="s">
        <v>97</v>
      </c>
      <c r="N245" s="244"/>
      <c r="O245" s="119">
        <v>1</v>
      </c>
      <c r="Q245" s="119">
        <v>0</v>
      </c>
      <c r="S245" s="240">
        <v>0</v>
      </c>
      <c r="T245" s="240"/>
      <c r="W245" s="119">
        <v>0</v>
      </c>
      <c r="Y245" s="119">
        <v>1</v>
      </c>
    </row>
    <row r="246" spans="1:25" ht="15" customHeight="1">
      <c r="A246" s="241">
        <v>181</v>
      </c>
      <c r="B246" s="241"/>
      <c r="C246" s="241"/>
      <c r="D246" s="118">
        <v>3276</v>
      </c>
      <c r="F246" s="242" t="s">
        <v>289</v>
      </c>
      <c r="G246" s="242"/>
      <c r="I246" s="242" t="s">
        <v>281</v>
      </c>
      <c r="J246" s="242"/>
      <c r="K246" s="243">
        <v>43049</v>
      </c>
      <c r="L246" s="243"/>
      <c r="M246" s="244" t="s">
        <v>97</v>
      </c>
      <c r="N246" s="244"/>
      <c r="O246" s="119">
        <v>1</v>
      </c>
      <c r="Q246" s="119">
        <v>0</v>
      </c>
      <c r="S246" s="240">
        <v>0</v>
      </c>
      <c r="T246" s="240"/>
      <c r="W246" s="119">
        <v>0</v>
      </c>
      <c r="Y246" s="119">
        <v>1</v>
      </c>
    </row>
    <row r="247" spans="1:25" ht="15" customHeight="1">
      <c r="A247" s="241">
        <v>182</v>
      </c>
      <c r="B247" s="241"/>
      <c r="C247" s="241"/>
      <c r="D247" s="118">
        <v>3193</v>
      </c>
      <c r="F247" s="242" t="s">
        <v>290</v>
      </c>
      <c r="G247" s="242"/>
      <c r="I247" s="242" t="s">
        <v>281</v>
      </c>
      <c r="J247" s="242"/>
      <c r="K247" s="243">
        <v>41800</v>
      </c>
      <c r="L247" s="243"/>
      <c r="M247" s="244" t="s">
        <v>97</v>
      </c>
      <c r="N247" s="244"/>
      <c r="O247" s="119">
        <v>1</v>
      </c>
      <c r="Q247" s="119">
        <v>0</v>
      </c>
      <c r="S247" s="240">
        <v>0</v>
      </c>
      <c r="T247" s="240"/>
      <c r="W247" s="119">
        <v>0</v>
      </c>
      <c r="Y247" s="119">
        <v>1</v>
      </c>
    </row>
    <row r="248" spans="1:25" ht="15" customHeight="1">
      <c r="A248" s="241">
        <v>183</v>
      </c>
      <c r="B248" s="241"/>
      <c r="C248" s="241"/>
      <c r="D248" s="118">
        <v>3149</v>
      </c>
      <c r="F248" s="242" t="s">
        <v>291</v>
      </c>
      <c r="G248" s="242"/>
      <c r="I248" s="242" t="s">
        <v>281</v>
      </c>
      <c r="J248" s="242"/>
      <c r="K248" s="243">
        <v>42556</v>
      </c>
      <c r="L248" s="243"/>
      <c r="M248" s="244" t="s">
        <v>97</v>
      </c>
      <c r="N248" s="244"/>
      <c r="O248" s="119">
        <v>1</v>
      </c>
      <c r="Q248" s="119">
        <v>0</v>
      </c>
      <c r="S248" s="240">
        <v>0</v>
      </c>
      <c r="T248" s="240"/>
      <c r="W248" s="119">
        <v>0</v>
      </c>
      <c r="Y248" s="119">
        <v>1</v>
      </c>
    </row>
    <row r="249" spans="1:25" ht="15" customHeight="1">
      <c r="A249" s="241">
        <v>184</v>
      </c>
      <c r="B249" s="241"/>
      <c r="C249" s="241"/>
      <c r="D249" s="118">
        <v>5088</v>
      </c>
      <c r="F249" s="242" t="s">
        <v>292</v>
      </c>
      <c r="G249" s="242"/>
      <c r="I249" s="242" t="s">
        <v>281</v>
      </c>
      <c r="J249" s="242"/>
      <c r="K249" s="243">
        <v>43178</v>
      </c>
      <c r="L249" s="243"/>
      <c r="M249" s="244" t="s">
        <v>97</v>
      </c>
      <c r="N249" s="244"/>
      <c r="O249" s="119">
        <v>1</v>
      </c>
      <c r="Q249" s="119">
        <v>0</v>
      </c>
      <c r="S249" s="240">
        <v>0</v>
      </c>
      <c r="T249" s="240"/>
      <c r="W249" s="119">
        <v>0</v>
      </c>
      <c r="Y249" s="119">
        <v>1</v>
      </c>
    </row>
    <row r="250" spans="1:25" ht="15" customHeight="1">
      <c r="A250" s="241">
        <v>185</v>
      </c>
      <c r="B250" s="241"/>
      <c r="C250" s="241"/>
      <c r="D250" s="118">
        <v>3199</v>
      </c>
      <c r="F250" s="242" t="s">
        <v>293</v>
      </c>
      <c r="G250" s="242"/>
      <c r="I250" s="242" t="s">
        <v>281</v>
      </c>
      <c r="J250" s="242"/>
      <c r="K250" s="243">
        <v>42067</v>
      </c>
      <c r="L250" s="243"/>
      <c r="M250" s="244" t="s">
        <v>97</v>
      </c>
      <c r="N250" s="244"/>
      <c r="O250" s="119">
        <v>1</v>
      </c>
      <c r="Q250" s="119">
        <v>0</v>
      </c>
      <c r="S250" s="240">
        <v>0</v>
      </c>
      <c r="T250" s="240"/>
      <c r="W250" s="119">
        <v>0</v>
      </c>
      <c r="Y250" s="119">
        <v>1</v>
      </c>
    </row>
    <row r="251" spans="1:25" ht="15" customHeight="1">
      <c r="A251" s="241">
        <v>186</v>
      </c>
      <c r="B251" s="241"/>
      <c r="C251" s="241"/>
      <c r="D251" s="118">
        <v>3272</v>
      </c>
      <c r="F251" s="242" t="s">
        <v>125</v>
      </c>
      <c r="G251" s="242"/>
      <c r="I251" s="242" t="s">
        <v>281</v>
      </c>
      <c r="J251" s="242"/>
      <c r="K251" s="243">
        <v>43052</v>
      </c>
      <c r="L251" s="243"/>
      <c r="M251" s="244" t="s">
        <v>97</v>
      </c>
      <c r="N251" s="244"/>
      <c r="O251" s="119">
        <v>1</v>
      </c>
      <c r="Q251" s="119">
        <v>0</v>
      </c>
      <c r="S251" s="240">
        <v>0</v>
      </c>
      <c r="T251" s="240"/>
      <c r="W251" s="119">
        <v>0</v>
      </c>
      <c r="Y251" s="119">
        <v>1</v>
      </c>
    </row>
    <row r="252" spans="1:25" ht="15" customHeight="1">
      <c r="A252" s="241">
        <v>187</v>
      </c>
      <c r="B252" s="241"/>
      <c r="C252" s="241"/>
      <c r="D252" s="118">
        <v>3018</v>
      </c>
      <c r="F252" s="242" t="s">
        <v>294</v>
      </c>
      <c r="G252" s="242"/>
      <c r="I252" s="242" t="s">
        <v>281</v>
      </c>
      <c r="J252" s="242"/>
      <c r="K252" s="243">
        <v>38705</v>
      </c>
      <c r="L252" s="243"/>
      <c r="M252" s="244" t="s">
        <v>97</v>
      </c>
      <c r="N252" s="244"/>
      <c r="O252" s="119">
        <v>1</v>
      </c>
      <c r="Q252" s="119">
        <v>0</v>
      </c>
      <c r="S252" s="240">
        <v>0</v>
      </c>
      <c r="T252" s="240"/>
      <c r="W252" s="119">
        <v>0</v>
      </c>
      <c r="Y252" s="119">
        <v>1</v>
      </c>
    </row>
    <row r="253" spans="1:25" ht="15" customHeight="1"/>
    <row r="254" spans="1:25" ht="15" customHeight="1">
      <c r="N254" s="240">
        <v>14</v>
      </c>
      <c r="O254" s="240"/>
      <c r="P254" s="240">
        <v>0</v>
      </c>
      <c r="Q254" s="240"/>
      <c r="R254" s="240">
        <v>0</v>
      </c>
      <c r="S254" s="240"/>
      <c r="T254" s="240"/>
      <c r="V254" s="240">
        <v>0</v>
      </c>
      <c r="W254" s="240"/>
      <c r="X254" s="240">
        <v>14</v>
      </c>
      <c r="Y254" s="240"/>
    </row>
    <row r="255" spans="1:25" ht="15" customHeight="1">
      <c r="F255" s="245" t="s">
        <v>295</v>
      </c>
      <c r="G255" s="245"/>
      <c r="H255" s="245"/>
      <c r="I255" s="245"/>
    </row>
    <row r="256" spans="1:25" ht="15" customHeight="1">
      <c r="A256" s="241">
        <v>188</v>
      </c>
      <c r="B256" s="241"/>
      <c r="C256" s="241"/>
      <c r="D256" s="118">
        <v>16657</v>
      </c>
      <c r="F256" s="242" t="s">
        <v>296</v>
      </c>
      <c r="G256" s="242"/>
      <c r="I256" s="242" t="s">
        <v>295</v>
      </c>
      <c r="J256" s="242"/>
      <c r="K256" s="243">
        <v>44251</v>
      </c>
      <c r="L256" s="243"/>
      <c r="M256" s="244" t="s">
        <v>99</v>
      </c>
      <c r="N256" s="244"/>
      <c r="O256" s="119">
        <v>0</v>
      </c>
      <c r="Q256" s="119">
        <v>0</v>
      </c>
      <c r="S256" s="240">
        <v>1</v>
      </c>
      <c r="T256" s="240"/>
      <c r="W256" s="119">
        <v>0</v>
      </c>
      <c r="Y256" s="119">
        <v>1</v>
      </c>
    </row>
    <row r="257" spans="1:25" ht="15" customHeight="1">
      <c r="A257" s="241">
        <v>189</v>
      </c>
      <c r="B257" s="241"/>
      <c r="C257" s="241"/>
      <c r="D257" s="118">
        <v>15971</v>
      </c>
      <c r="F257" s="242" t="s">
        <v>297</v>
      </c>
      <c r="G257" s="242"/>
      <c r="I257" s="242" t="s">
        <v>295</v>
      </c>
      <c r="J257" s="242"/>
      <c r="K257" s="243">
        <v>43143</v>
      </c>
      <c r="L257" s="243"/>
      <c r="M257" s="244" t="s">
        <v>99</v>
      </c>
      <c r="N257" s="244"/>
      <c r="O257" s="119">
        <v>0</v>
      </c>
      <c r="Q257" s="119">
        <v>1</v>
      </c>
      <c r="S257" s="240">
        <v>0</v>
      </c>
      <c r="T257" s="240"/>
      <c r="W257" s="119">
        <v>0</v>
      </c>
      <c r="Y257" s="119">
        <v>1</v>
      </c>
    </row>
    <row r="258" spans="1:25" ht="15" customHeight="1">
      <c r="A258" s="241">
        <v>190</v>
      </c>
      <c r="B258" s="241"/>
      <c r="C258" s="241"/>
      <c r="D258" s="118">
        <v>5133</v>
      </c>
      <c r="F258" s="242" t="s">
        <v>298</v>
      </c>
      <c r="G258" s="242"/>
      <c r="I258" s="242" t="s">
        <v>295</v>
      </c>
      <c r="J258" s="242"/>
      <c r="K258" s="243">
        <v>43444</v>
      </c>
      <c r="L258" s="243"/>
      <c r="M258" s="244" t="s">
        <v>97</v>
      </c>
      <c r="N258" s="244"/>
      <c r="O258" s="119">
        <v>0</v>
      </c>
      <c r="Q258" s="119">
        <v>1</v>
      </c>
      <c r="S258" s="240">
        <v>0</v>
      </c>
      <c r="T258" s="240"/>
      <c r="W258" s="119">
        <v>0</v>
      </c>
      <c r="Y258" s="119">
        <v>1</v>
      </c>
    </row>
    <row r="259" spans="1:25" ht="15" customHeight="1">
      <c r="A259" s="241">
        <v>191</v>
      </c>
      <c r="B259" s="241"/>
      <c r="C259" s="241"/>
      <c r="D259" s="118">
        <v>5026</v>
      </c>
      <c r="F259" s="242" t="s">
        <v>299</v>
      </c>
      <c r="G259" s="242"/>
      <c r="I259" s="242" t="s">
        <v>295</v>
      </c>
      <c r="J259" s="242"/>
      <c r="K259" s="243">
        <v>43271</v>
      </c>
      <c r="L259" s="243"/>
      <c r="M259" s="244" t="s">
        <v>97</v>
      </c>
      <c r="N259" s="244"/>
      <c r="O259" s="119">
        <v>0</v>
      </c>
      <c r="Q259" s="119">
        <v>0</v>
      </c>
      <c r="S259" s="240">
        <v>1</v>
      </c>
      <c r="T259" s="240"/>
      <c r="W259" s="119">
        <v>0</v>
      </c>
      <c r="Y259" s="119">
        <v>1</v>
      </c>
    </row>
    <row r="260" spans="1:25" ht="15" customHeight="1">
      <c r="A260" s="241">
        <v>192</v>
      </c>
      <c r="B260" s="241"/>
      <c r="C260" s="241"/>
      <c r="D260" s="118">
        <v>5342</v>
      </c>
      <c r="F260" s="242" t="s">
        <v>300</v>
      </c>
      <c r="G260" s="242"/>
      <c r="I260" s="242" t="s">
        <v>295</v>
      </c>
      <c r="J260" s="242"/>
      <c r="K260" s="243">
        <v>43557</v>
      </c>
      <c r="L260" s="243"/>
      <c r="M260" s="244" t="s">
        <v>97</v>
      </c>
      <c r="N260" s="244"/>
      <c r="O260" s="119">
        <v>1</v>
      </c>
      <c r="Q260" s="119">
        <v>0</v>
      </c>
      <c r="S260" s="240">
        <v>0</v>
      </c>
      <c r="T260" s="240"/>
      <c r="W260" s="119">
        <v>0</v>
      </c>
      <c r="Y260" s="119">
        <v>1</v>
      </c>
    </row>
    <row r="261" spans="1:25" ht="15" customHeight="1">
      <c r="A261" s="241">
        <v>193</v>
      </c>
      <c r="B261" s="241"/>
      <c r="C261" s="241"/>
      <c r="D261" s="118">
        <v>4634</v>
      </c>
      <c r="F261" s="242" t="s">
        <v>301</v>
      </c>
      <c r="G261" s="242"/>
      <c r="I261" s="242" t="s">
        <v>295</v>
      </c>
      <c r="J261" s="242"/>
      <c r="K261" s="243">
        <v>42817</v>
      </c>
      <c r="L261" s="243"/>
      <c r="M261" s="244" t="s">
        <v>97</v>
      </c>
      <c r="N261" s="244"/>
      <c r="O261" s="119">
        <v>1</v>
      </c>
      <c r="Q261" s="119">
        <v>0</v>
      </c>
      <c r="S261" s="240">
        <v>0</v>
      </c>
      <c r="T261" s="240"/>
      <c r="W261" s="119">
        <v>0</v>
      </c>
      <c r="Y261" s="119">
        <v>1</v>
      </c>
    </row>
    <row r="262" spans="1:25" ht="15" customHeight="1">
      <c r="A262" s="241">
        <v>194</v>
      </c>
      <c r="B262" s="241"/>
      <c r="C262" s="241"/>
      <c r="D262" s="118">
        <v>3353</v>
      </c>
      <c r="F262" s="242" t="s">
        <v>151</v>
      </c>
      <c r="G262" s="242"/>
      <c r="I262" s="242" t="s">
        <v>295</v>
      </c>
      <c r="J262" s="242"/>
      <c r="K262" s="243">
        <v>43774</v>
      </c>
      <c r="L262" s="243"/>
      <c r="M262" s="244" t="s">
        <v>97</v>
      </c>
      <c r="N262" s="244"/>
      <c r="O262" s="119">
        <v>1</v>
      </c>
      <c r="Q262" s="119">
        <v>0</v>
      </c>
      <c r="S262" s="240">
        <v>0</v>
      </c>
      <c r="T262" s="240"/>
      <c r="W262" s="119">
        <v>0</v>
      </c>
      <c r="Y262" s="119">
        <v>1</v>
      </c>
    </row>
    <row r="263" spans="1:25" ht="15" customHeight="1">
      <c r="A263" s="241">
        <v>195</v>
      </c>
      <c r="B263" s="241"/>
      <c r="C263" s="241"/>
      <c r="D263" s="118">
        <v>4790</v>
      </c>
      <c r="F263" s="242" t="s">
        <v>302</v>
      </c>
      <c r="G263" s="242"/>
      <c r="I263" s="242" t="s">
        <v>295</v>
      </c>
      <c r="J263" s="242"/>
      <c r="K263" s="243">
        <v>42957</v>
      </c>
      <c r="L263" s="243"/>
      <c r="M263" s="244" t="s">
        <v>97</v>
      </c>
      <c r="N263" s="244"/>
      <c r="O263" s="119">
        <v>0</v>
      </c>
      <c r="Q263" s="119">
        <v>0</v>
      </c>
      <c r="S263" s="240">
        <v>1</v>
      </c>
      <c r="T263" s="240"/>
      <c r="W263" s="119">
        <v>0</v>
      </c>
      <c r="Y263" s="119">
        <v>1</v>
      </c>
    </row>
    <row r="264" spans="1:25" ht="15" customHeight="1">
      <c r="A264" s="241">
        <v>196</v>
      </c>
      <c r="B264" s="241"/>
      <c r="C264" s="241"/>
      <c r="D264" s="118">
        <v>16533</v>
      </c>
      <c r="F264" s="242" t="s">
        <v>303</v>
      </c>
      <c r="G264" s="242"/>
      <c r="I264" s="242" t="s">
        <v>295</v>
      </c>
      <c r="J264" s="242"/>
      <c r="K264" s="243">
        <v>44089</v>
      </c>
      <c r="L264" s="243"/>
      <c r="M264" s="244" t="s">
        <v>99</v>
      </c>
      <c r="N264" s="244"/>
      <c r="O264" s="119">
        <v>0</v>
      </c>
      <c r="Q264" s="119">
        <v>0</v>
      </c>
      <c r="S264" s="240">
        <v>1</v>
      </c>
      <c r="T264" s="240"/>
      <c r="W264" s="119">
        <v>0</v>
      </c>
      <c r="Y264" s="119">
        <v>1</v>
      </c>
    </row>
    <row r="265" spans="1:25" ht="15" customHeight="1">
      <c r="A265" s="241">
        <v>197</v>
      </c>
      <c r="B265" s="241"/>
      <c r="C265" s="241"/>
      <c r="D265" s="118">
        <v>6221</v>
      </c>
      <c r="F265" s="242" t="s">
        <v>304</v>
      </c>
      <c r="G265" s="242"/>
      <c r="I265" s="242" t="s">
        <v>295</v>
      </c>
      <c r="J265" s="242"/>
      <c r="K265" s="243">
        <v>44286</v>
      </c>
      <c r="L265" s="243"/>
      <c r="M265" s="244" t="s">
        <v>97</v>
      </c>
      <c r="N265" s="244"/>
      <c r="O265" s="119">
        <v>0</v>
      </c>
      <c r="Q265" s="119">
        <v>0</v>
      </c>
      <c r="S265" s="240">
        <v>1</v>
      </c>
      <c r="T265" s="240"/>
      <c r="W265" s="119">
        <v>0</v>
      </c>
      <c r="Y265" s="119">
        <v>1</v>
      </c>
    </row>
    <row r="266" spans="1:25" ht="15" customHeight="1">
      <c r="A266" s="241">
        <v>198</v>
      </c>
      <c r="B266" s="241"/>
      <c r="C266" s="241"/>
      <c r="D266" s="118">
        <v>15745</v>
      </c>
      <c r="F266" s="242" t="s">
        <v>305</v>
      </c>
      <c r="G266" s="242"/>
      <c r="I266" s="242" t="s">
        <v>295</v>
      </c>
      <c r="J266" s="242"/>
      <c r="K266" s="243">
        <v>42852</v>
      </c>
      <c r="L266" s="243"/>
      <c r="M266" s="244" t="s">
        <v>99</v>
      </c>
      <c r="N266" s="244"/>
      <c r="O266" s="119">
        <v>0</v>
      </c>
      <c r="Q266" s="119">
        <v>1</v>
      </c>
      <c r="S266" s="240">
        <v>0</v>
      </c>
      <c r="T266" s="240"/>
      <c r="W266" s="119">
        <v>0</v>
      </c>
      <c r="Y266" s="119">
        <v>1</v>
      </c>
    </row>
    <row r="267" spans="1:25" ht="15" customHeight="1">
      <c r="A267" s="241">
        <v>199</v>
      </c>
      <c r="B267" s="241"/>
      <c r="C267" s="241"/>
      <c r="D267" s="118">
        <v>3218</v>
      </c>
      <c r="F267" s="242" t="s">
        <v>306</v>
      </c>
      <c r="G267" s="242"/>
      <c r="I267" s="242" t="s">
        <v>295</v>
      </c>
      <c r="J267" s="242"/>
      <c r="K267" s="243">
        <v>42611</v>
      </c>
      <c r="L267" s="243"/>
      <c r="M267" s="244" t="s">
        <v>97</v>
      </c>
      <c r="N267" s="244"/>
      <c r="O267" s="119">
        <v>1</v>
      </c>
      <c r="Q267" s="119">
        <v>0</v>
      </c>
      <c r="S267" s="240">
        <v>0</v>
      </c>
      <c r="T267" s="240"/>
      <c r="W267" s="119">
        <v>0</v>
      </c>
      <c r="Y267" s="119">
        <v>1</v>
      </c>
    </row>
    <row r="268" spans="1:25" ht="15" customHeight="1">
      <c r="A268" s="241">
        <v>200</v>
      </c>
      <c r="B268" s="241"/>
      <c r="C268" s="241"/>
      <c r="D268" s="118">
        <v>3200</v>
      </c>
      <c r="F268" s="242" t="s">
        <v>307</v>
      </c>
      <c r="G268" s="242"/>
      <c r="I268" s="242" t="s">
        <v>295</v>
      </c>
      <c r="J268" s="242"/>
      <c r="K268" s="243">
        <v>42611</v>
      </c>
      <c r="L268" s="243"/>
      <c r="M268" s="244" t="s">
        <v>97</v>
      </c>
      <c r="N268" s="244"/>
      <c r="O268" s="119">
        <v>1</v>
      </c>
      <c r="Q268" s="119">
        <v>0</v>
      </c>
      <c r="S268" s="240">
        <v>0</v>
      </c>
      <c r="T268" s="240"/>
      <c r="W268" s="119">
        <v>0</v>
      </c>
      <c r="Y268" s="119">
        <v>1</v>
      </c>
    </row>
    <row r="269" spans="1:25" ht="15" customHeight="1">
      <c r="A269" s="241">
        <v>201</v>
      </c>
      <c r="B269" s="241"/>
      <c r="C269" s="241"/>
      <c r="D269" s="118">
        <v>3318</v>
      </c>
      <c r="F269" s="242" t="s">
        <v>308</v>
      </c>
      <c r="G269" s="242"/>
      <c r="I269" s="242" t="s">
        <v>295</v>
      </c>
      <c r="J269" s="242"/>
      <c r="K269" s="243">
        <v>43482</v>
      </c>
      <c r="L269" s="243"/>
      <c r="M269" s="244" t="s">
        <v>97</v>
      </c>
      <c r="N269" s="244"/>
      <c r="O269" s="119">
        <v>1</v>
      </c>
      <c r="Q269" s="119">
        <v>0</v>
      </c>
      <c r="S269" s="240">
        <v>0</v>
      </c>
      <c r="T269" s="240"/>
      <c r="W269" s="119">
        <v>0</v>
      </c>
      <c r="Y269" s="119">
        <v>1</v>
      </c>
    </row>
    <row r="270" spans="1:25" ht="15" customHeight="1">
      <c r="A270" s="241">
        <v>202</v>
      </c>
      <c r="B270" s="241"/>
      <c r="C270" s="241"/>
      <c r="D270" s="118">
        <v>16199</v>
      </c>
      <c r="F270" s="242" t="s">
        <v>309</v>
      </c>
      <c r="G270" s="242"/>
      <c r="I270" s="242" t="s">
        <v>295</v>
      </c>
      <c r="J270" s="242"/>
      <c r="K270" s="243">
        <v>43534</v>
      </c>
      <c r="L270" s="243"/>
      <c r="M270" s="244" t="s">
        <v>99</v>
      </c>
      <c r="N270" s="244"/>
      <c r="O270" s="119">
        <v>0</v>
      </c>
      <c r="Q270" s="119">
        <v>1</v>
      </c>
      <c r="S270" s="240">
        <v>0</v>
      </c>
      <c r="T270" s="240"/>
      <c r="W270" s="119">
        <v>0</v>
      </c>
      <c r="Y270" s="119">
        <v>1</v>
      </c>
    </row>
    <row r="271" spans="1:25" ht="15" customHeight="1">
      <c r="A271" s="241">
        <v>203</v>
      </c>
      <c r="B271" s="241"/>
      <c r="C271" s="241"/>
      <c r="D271" s="118">
        <v>5073</v>
      </c>
      <c r="F271" s="242" t="s">
        <v>310</v>
      </c>
      <c r="G271" s="242"/>
      <c r="I271" s="242" t="s">
        <v>295</v>
      </c>
      <c r="J271" s="242"/>
      <c r="K271" s="243">
        <v>43336</v>
      </c>
      <c r="L271" s="243"/>
      <c r="M271" s="244" t="s">
        <v>97</v>
      </c>
      <c r="N271" s="244"/>
      <c r="O271" s="119">
        <v>0</v>
      </c>
      <c r="Q271" s="119">
        <v>0</v>
      </c>
      <c r="S271" s="240">
        <v>1</v>
      </c>
      <c r="T271" s="240"/>
      <c r="W271" s="119">
        <v>0</v>
      </c>
      <c r="Y271" s="119">
        <v>1</v>
      </c>
    </row>
    <row r="272" spans="1:25" ht="15" customHeight="1">
      <c r="A272" s="241">
        <v>204</v>
      </c>
      <c r="B272" s="241"/>
      <c r="C272" s="241"/>
      <c r="D272" s="118">
        <v>16402</v>
      </c>
      <c r="F272" s="242" t="s">
        <v>311</v>
      </c>
      <c r="G272" s="242"/>
      <c r="I272" s="242" t="s">
        <v>295</v>
      </c>
      <c r="J272" s="242"/>
      <c r="K272" s="243">
        <v>43878</v>
      </c>
      <c r="L272" s="243"/>
      <c r="M272" s="244" t="s">
        <v>99</v>
      </c>
      <c r="N272" s="244"/>
      <c r="O272" s="119">
        <v>0</v>
      </c>
      <c r="Q272" s="119">
        <v>0</v>
      </c>
      <c r="S272" s="240">
        <v>1</v>
      </c>
      <c r="T272" s="240"/>
      <c r="W272" s="119">
        <v>0</v>
      </c>
      <c r="Y272" s="119">
        <v>1</v>
      </c>
    </row>
    <row r="273" spans="1:25" ht="15" customHeight="1">
      <c r="A273" s="241">
        <v>205</v>
      </c>
      <c r="B273" s="241"/>
      <c r="C273" s="241"/>
      <c r="D273" s="118">
        <v>4098</v>
      </c>
      <c r="F273" s="242" t="s">
        <v>312</v>
      </c>
      <c r="G273" s="242"/>
      <c r="I273" s="242" t="s">
        <v>295</v>
      </c>
      <c r="J273" s="242"/>
      <c r="K273" s="243">
        <v>41940</v>
      </c>
      <c r="L273" s="243"/>
      <c r="M273" s="244" t="s">
        <v>97</v>
      </c>
      <c r="N273" s="244"/>
      <c r="O273" s="119">
        <v>1</v>
      </c>
      <c r="Q273" s="119">
        <v>0</v>
      </c>
      <c r="S273" s="240">
        <v>0</v>
      </c>
      <c r="T273" s="240"/>
      <c r="W273" s="119">
        <v>0</v>
      </c>
      <c r="Y273" s="119">
        <v>1</v>
      </c>
    </row>
    <row r="274" spans="1:25" ht="15" customHeight="1">
      <c r="A274" s="241">
        <v>206</v>
      </c>
      <c r="B274" s="241"/>
      <c r="C274" s="241"/>
      <c r="D274" s="118">
        <v>3336</v>
      </c>
      <c r="F274" s="242" t="s">
        <v>313</v>
      </c>
      <c r="G274" s="242"/>
      <c r="I274" s="242" t="s">
        <v>295</v>
      </c>
      <c r="J274" s="242"/>
      <c r="K274" s="243">
        <v>43769</v>
      </c>
      <c r="L274" s="243"/>
      <c r="M274" s="244" t="s">
        <v>97</v>
      </c>
      <c r="N274" s="244"/>
      <c r="O274" s="119">
        <v>0</v>
      </c>
      <c r="Q274" s="119">
        <v>0</v>
      </c>
      <c r="S274" s="240">
        <v>1</v>
      </c>
      <c r="T274" s="240"/>
      <c r="W274" s="119">
        <v>0</v>
      </c>
      <c r="Y274" s="119">
        <v>1</v>
      </c>
    </row>
    <row r="275" spans="1:25" ht="15" customHeight="1">
      <c r="A275" s="241">
        <v>207</v>
      </c>
      <c r="B275" s="241"/>
      <c r="C275" s="241"/>
      <c r="D275" s="118">
        <v>15816</v>
      </c>
      <c r="F275" s="242" t="s">
        <v>314</v>
      </c>
      <c r="G275" s="242"/>
      <c r="I275" s="242" t="s">
        <v>295</v>
      </c>
      <c r="J275" s="242"/>
      <c r="K275" s="243">
        <v>42929</v>
      </c>
      <c r="L275" s="243"/>
      <c r="M275" s="244" t="s">
        <v>99</v>
      </c>
      <c r="N275" s="244"/>
      <c r="O275" s="119">
        <v>0</v>
      </c>
      <c r="Q275" s="119">
        <v>1</v>
      </c>
      <c r="S275" s="240">
        <v>0</v>
      </c>
      <c r="T275" s="240"/>
      <c r="W275" s="119">
        <v>0</v>
      </c>
      <c r="Y275" s="119">
        <v>1</v>
      </c>
    </row>
    <row r="276" spans="1:25" ht="15" customHeight="1">
      <c r="A276" s="241">
        <v>208</v>
      </c>
      <c r="B276" s="241"/>
      <c r="C276" s="241"/>
      <c r="D276" s="118">
        <v>16221</v>
      </c>
      <c r="F276" s="242" t="s">
        <v>315</v>
      </c>
      <c r="G276" s="242"/>
      <c r="I276" s="242" t="s">
        <v>295</v>
      </c>
      <c r="J276" s="242"/>
      <c r="K276" s="243">
        <v>43574</v>
      </c>
      <c r="L276" s="243"/>
      <c r="M276" s="244" t="s">
        <v>99</v>
      </c>
      <c r="N276" s="244"/>
      <c r="O276" s="119">
        <v>0</v>
      </c>
      <c r="Q276" s="119">
        <v>0</v>
      </c>
      <c r="S276" s="240">
        <v>1</v>
      </c>
      <c r="T276" s="240"/>
      <c r="W276" s="119">
        <v>0</v>
      </c>
      <c r="Y276" s="119">
        <v>1</v>
      </c>
    </row>
    <row r="277" spans="1:25" ht="15" customHeight="1">
      <c r="A277" s="241">
        <v>209</v>
      </c>
      <c r="B277" s="241"/>
      <c r="C277" s="241"/>
      <c r="D277" s="118">
        <v>15953</v>
      </c>
      <c r="F277" s="242" t="s">
        <v>316</v>
      </c>
      <c r="G277" s="242"/>
      <c r="I277" s="242" t="s">
        <v>295</v>
      </c>
      <c r="J277" s="242"/>
      <c r="K277" s="243">
        <v>43122</v>
      </c>
      <c r="L277" s="243"/>
      <c r="M277" s="244" t="s">
        <v>99</v>
      </c>
      <c r="N277" s="244"/>
      <c r="O277" s="119">
        <v>0</v>
      </c>
      <c r="Q277" s="119">
        <v>0</v>
      </c>
      <c r="S277" s="240">
        <v>1</v>
      </c>
      <c r="T277" s="240"/>
      <c r="W277" s="119">
        <v>0</v>
      </c>
      <c r="Y277" s="119">
        <v>1</v>
      </c>
    </row>
    <row r="278" spans="1:25" ht="15" customHeight="1">
      <c r="A278" s="241">
        <v>210</v>
      </c>
      <c r="B278" s="241"/>
      <c r="C278" s="241"/>
      <c r="D278" s="118">
        <v>16183</v>
      </c>
      <c r="F278" s="242" t="s">
        <v>317</v>
      </c>
      <c r="G278" s="242"/>
      <c r="I278" s="242" t="s">
        <v>295</v>
      </c>
      <c r="J278" s="242"/>
      <c r="K278" s="243">
        <v>43501</v>
      </c>
      <c r="L278" s="243"/>
      <c r="M278" s="244" t="s">
        <v>99</v>
      </c>
      <c r="N278" s="244"/>
      <c r="O278" s="119">
        <v>0</v>
      </c>
      <c r="Q278" s="119">
        <v>1</v>
      </c>
      <c r="S278" s="240">
        <v>0</v>
      </c>
      <c r="T278" s="240"/>
      <c r="W278" s="119">
        <v>0</v>
      </c>
      <c r="Y278" s="119">
        <v>1</v>
      </c>
    </row>
    <row r="279" spans="1:25" ht="15" customHeight="1"/>
    <row r="280" spans="1:25" ht="15" customHeight="1">
      <c r="N280" s="240">
        <v>7</v>
      </c>
      <c r="O280" s="240"/>
      <c r="P280" s="240">
        <v>6</v>
      </c>
      <c r="Q280" s="240"/>
      <c r="R280" s="240">
        <v>10</v>
      </c>
      <c r="S280" s="240"/>
      <c r="T280" s="240"/>
      <c r="V280" s="240">
        <v>0</v>
      </c>
      <c r="W280" s="240"/>
      <c r="X280" s="240">
        <v>23</v>
      </c>
      <c r="Y280" s="240"/>
    </row>
    <row r="281" spans="1:25" ht="15" customHeight="1">
      <c r="F281" s="245" t="s">
        <v>318</v>
      </c>
      <c r="G281" s="245"/>
      <c r="H281" s="245"/>
      <c r="I281" s="245"/>
    </row>
    <row r="282" spans="1:25" ht="15" customHeight="1">
      <c r="A282" s="241">
        <v>211</v>
      </c>
      <c r="B282" s="241"/>
      <c r="C282" s="241"/>
      <c r="D282" s="118">
        <v>16426</v>
      </c>
      <c r="F282" s="242" t="s">
        <v>319</v>
      </c>
      <c r="G282" s="242"/>
      <c r="I282" s="242" t="s">
        <v>318</v>
      </c>
      <c r="J282" s="242"/>
      <c r="K282" s="243">
        <v>43910</v>
      </c>
      <c r="L282" s="243"/>
      <c r="M282" s="244" t="s">
        <v>99</v>
      </c>
      <c r="N282" s="244"/>
      <c r="O282" s="119">
        <v>1</v>
      </c>
      <c r="Q282" s="119">
        <v>0</v>
      </c>
      <c r="S282" s="240">
        <v>0</v>
      </c>
      <c r="T282" s="240"/>
      <c r="W282" s="119">
        <v>0</v>
      </c>
      <c r="Y282" s="119">
        <v>1</v>
      </c>
    </row>
    <row r="283" spans="1:25" ht="15" customHeight="1">
      <c r="A283" s="241">
        <v>212</v>
      </c>
      <c r="B283" s="241"/>
      <c r="C283" s="241"/>
      <c r="D283" s="118">
        <v>5862</v>
      </c>
      <c r="F283" s="242" t="s">
        <v>320</v>
      </c>
      <c r="G283" s="242"/>
      <c r="I283" s="242" t="s">
        <v>318</v>
      </c>
      <c r="J283" s="242"/>
      <c r="K283" s="243">
        <v>43910</v>
      </c>
      <c r="L283" s="243"/>
      <c r="M283" s="244" t="s">
        <v>97</v>
      </c>
      <c r="N283" s="244"/>
      <c r="O283" s="119">
        <v>0</v>
      </c>
      <c r="Q283" s="119">
        <v>1</v>
      </c>
      <c r="S283" s="240">
        <v>0</v>
      </c>
      <c r="T283" s="240"/>
      <c r="W283" s="119">
        <v>0</v>
      </c>
      <c r="Y283" s="119">
        <v>1</v>
      </c>
    </row>
    <row r="284" spans="1:25" ht="15" customHeight="1">
      <c r="A284" s="241">
        <v>213</v>
      </c>
      <c r="B284" s="241"/>
      <c r="C284" s="241"/>
      <c r="D284" s="118">
        <v>5554</v>
      </c>
      <c r="F284" s="242" t="s">
        <v>256</v>
      </c>
      <c r="G284" s="242"/>
      <c r="I284" s="242" t="s">
        <v>318</v>
      </c>
      <c r="J284" s="242"/>
      <c r="K284" s="243">
        <v>43773</v>
      </c>
      <c r="L284" s="243"/>
      <c r="M284" s="244" t="s">
        <v>97</v>
      </c>
      <c r="N284" s="244"/>
      <c r="O284" s="119">
        <v>1</v>
      </c>
      <c r="Q284" s="119">
        <v>0</v>
      </c>
      <c r="S284" s="240">
        <v>0</v>
      </c>
      <c r="T284" s="240"/>
      <c r="W284" s="119">
        <v>0</v>
      </c>
      <c r="Y284" s="119">
        <v>1</v>
      </c>
    </row>
    <row r="285" spans="1:25" ht="15" customHeight="1">
      <c r="A285" s="241">
        <v>214</v>
      </c>
      <c r="B285" s="241"/>
      <c r="C285" s="241"/>
      <c r="D285" s="118">
        <v>16453</v>
      </c>
      <c r="F285" s="242" t="s">
        <v>321</v>
      </c>
      <c r="G285" s="242"/>
      <c r="I285" s="242" t="s">
        <v>318</v>
      </c>
      <c r="J285" s="242"/>
      <c r="K285" s="243">
        <v>43990</v>
      </c>
      <c r="L285" s="243"/>
      <c r="M285" s="244" t="s">
        <v>99</v>
      </c>
      <c r="N285" s="244"/>
      <c r="O285" s="119">
        <v>0</v>
      </c>
      <c r="Q285" s="119">
        <v>0</v>
      </c>
      <c r="S285" s="240">
        <v>1</v>
      </c>
      <c r="T285" s="240"/>
      <c r="W285" s="119">
        <v>0</v>
      </c>
      <c r="Y285" s="119">
        <v>1</v>
      </c>
    </row>
    <row r="286" spans="1:25" ht="15" customHeight="1">
      <c r="A286" s="241">
        <v>215</v>
      </c>
      <c r="B286" s="241"/>
      <c r="C286" s="241"/>
      <c r="D286" s="118">
        <v>16550</v>
      </c>
      <c r="F286" s="242" t="s">
        <v>322</v>
      </c>
      <c r="G286" s="242"/>
      <c r="I286" s="242" t="s">
        <v>318</v>
      </c>
      <c r="J286" s="242"/>
      <c r="K286" s="243">
        <v>44102</v>
      </c>
      <c r="L286" s="243"/>
      <c r="M286" s="244" t="s">
        <v>99</v>
      </c>
      <c r="N286" s="244"/>
      <c r="O286" s="119">
        <v>0</v>
      </c>
      <c r="Q286" s="119">
        <v>0</v>
      </c>
      <c r="S286" s="240">
        <v>1</v>
      </c>
      <c r="T286" s="240"/>
      <c r="W286" s="119">
        <v>0</v>
      </c>
      <c r="Y286" s="119">
        <v>1</v>
      </c>
    </row>
    <row r="287" spans="1:25" ht="15" customHeight="1">
      <c r="A287" s="241">
        <v>216</v>
      </c>
      <c r="B287" s="241"/>
      <c r="C287" s="241"/>
      <c r="D287" s="118">
        <v>3333</v>
      </c>
      <c r="F287" s="242" t="s">
        <v>323</v>
      </c>
      <c r="G287" s="242"/>
      <c r="I287" s="242" t="s">
        <v>318</v>
      </c>
      <c r="J287" s="242"/>
      <c r="K287" s="243">
        <v>43648</v>
      </c>
      <c r="L287" s="243"/>
      <c r="M287" s="244" t="s">
        <v>97</v>
      </c>
      <c r="N287" s="244"/>
      <c r="O287" s="119">
        <v>0</v>
      </c>
      <c r="Q287" s="119">
        <v>0</v>
      </c>
      <c r="S287" s="240">
        <v>1</v>
      </c>
      <c r="T287" s="240"/>
      <c r="W287" s="119">
        <v>0</v>
      </c>
      <c r="Y287" s="119">
        <v>1</v>
      </c>
    </row>
    <row r="288" spans="1:25" ht="15" customHeight="1">
      <c r="A288" s="241">
        <v>217</v>
      </c>
      <c r="B288" s="241"/>
      <c r="C288" s="241"/>
      <c r="D288" s="118">
        <v>16556</v>
      </c>
      <c r="F288" s="242" t="s">
        <v>324</v>
      </c>
      <c r="G288" s="242"/>
      <c r="I288" s="242" t="s">
        <v>318</v>
      </c>
      <c r="J288" s="242"/>
      <c r="K288" s="243">
        <v>44105</v>
      </c>
      <c r="L288" s="243"/>
      <c r="M288" s="244" t="s">
        <v>99</v>
      </c>
      <c r="N288" s="244"/>
      <c r="O288" s="119">
        <v>0</v>
      </c>
      <c r="Q288" s="119">
        <v>1</v>
      </c>
      <c r="S288" s="240">
        <v>0</v>
      </c>
      <c r="T288" s="240"/>
      <c r="W288" s="119">
        <v>0</v>
      </c>
      <c r="Y288" s="119">
        <v>1</v>
      </c>
    </row>
    <row r="289" spans="1:25" ht="15" customHeight="1"/>
    <row r="290" spans="1:25" ht="15" customHeight="1">
      <c r="N290" s="240">
        <v>2</v>
      </c>
      <c r="O290" s="240"/>
      <c r="P290" s="240">
        <v>2</v>
      </c>
      <c r="Q290" s="240"/>
      <c r="R290" s="240">
        <v>3</v>
      </c>
      <c r="S290" s="240"/>
      <c r="T290" s="240"/>
      <c r="V290" s="240">
        <v>0</v>
      </c>
      <c r="W290" s="240"/>
      <c r="X290" s="240">
        <v>7</v>
      </c>
      <c r="Y290" s="240"/>
    </row>
    <row r="291" spans="1:25" ht="15" customHeight="1">
      <c r="F291" s="245" t="s">
        <v>325</v>
      </c>
      <c r="G291" s="245"/>
      <c r="H291" s="245"/>
      <c r="I291" s="245"/>
    </row>
    <row r="292" spans="1:25" ht="15" customHeight="1">
      <c r="A292" s="241">
        <v>218</v>
      </c>
      <c r="B292" s="241"/>
      <c r="C292" s="241"/>
      <c r="D292" s="118">
        <v>3342</v>
      </c>
      <c r="F292" s="242" t="s">
        <v>326</v>
      </c>
      <c r="G292" s="242"/>
      <c r="I292" s="242" t="s">
        <v>325</v>
      </c>
      <c r="J292" s="242"/>
      <c r="K292" s="243">
        <v>43564</v>
      </c>
      <c r="L292" s="243"/>
      <c r="M292" s="244" t="s">
        <v>97</v>
      </c>
      <c r="N292" s="244"/>
      <c r="O292" s="119">
        <v>0</v>
      </c>
      <c r="Q292" s="119">
        <v>0</v>
      </c>
      <c r="S292" s="240">
        <v>1</v>
      </c>
      <c r="T292" s="240"/>
      <c r="W292" s="119">
        <v>0</v>
      </c>
      <c r="Y292" s="119">
        <v>1</v>
      </c>
    </row>
    <row r="293" spans="1:25" ht="15" customHeight="1">
      <c r="A293" s="241">
        <v>219</v>
      </c>
      <c r="B293" s="241"/>
      <c r="C293" s="241"/>
      <c r="D293" s="118">
        <v>3215</v>
      </c>
      <c r="F293" s="242" t="s">
        <v>327</v>
      </c>
      <c r="G293" s="242"/>
      <c r="I293" s="242" t="s">
        <v>325</v>
      </c>
      <c r="J293" s="242"/>
      <c r="K293" s="243">
        <v>42640</v>
      </c>
      <c r="L293" s="243"/>
      <c r="M293" s="244" t="s">
        <v>97</v>
      </c>
      <c r="N293" s="244"/>
      <c r="O293" s="119">
        <v>1</v>
      </c>
      <c r="Q293" s="119">
        <v>0</v>
      </c>
      <c r="S293" s="240">
        <v>0</v>
      </c>
      <c r="T293" s="240"/>
      <c r="W293" s="119">
        <v>0</v>
      </c>
      <c r="Y293" s="119">
        <v>1</v>
      </c>
    </row>
    <row r="294" spans="1:25" ht="15" customHeight="1">
      <c r="A294" s="241">
        <v>220</v>
      </c>
      <c r="B294" s="241"/>
      <c r="C294" s="241"/>
      <c r="D294" s="118">
        <v>3304</v>
      </c>
      <c r="F294" s="242" t="s">
        <v>328</v>
      </c>
      <c r="G294" s="242"/>
      <c r="I294" s="242" t="s">
        <v>325</v>
      </c>
      <c r="J294" s="242"/>
      <c r="K294" s="243">
        <v>43213</v>
      </c>
      <c r="L294" s="243"/>
      <c r="M294" s="244" t="s">
        <v>97</v>
      </c>
      <c r="N294" s="244"/>
      <c r="O294" s="119">
        <v>1</v>
      </c>
      <c r="Q294" s="119">
        <v>0</v>
      </c>
      <c r="S294" s="240">
        <v>0</v>
      </c>
      <c r="T294" s="240"/>
      <c r="W294" s="119">
        <v>0</v>
      </c>
      <c r="Y294" s="119">
        <v>1</v>
      </c>
    </row>
    <row r="295" spans="1:25" ht="15" customHeight="1">
      <c r="A295" s="241">
        <v>221</v>
      </c>
      <c r="B295" s="241"/>
      <c r="C295" s="241"/>
      <c r="D295" s="118">
        <v>16021</v>
      </c>
      <c r="F295" s="242" t="s">
        <v>329</v>
      </c>
      <c r="G295" s="242"/>
      <c r="I295" s="242" t="s">
        <v>325</v>
      </c>
      <c r="J295" s="242"/>
      <c r="K295" s="243">
        <v>43226</v>
      </c>
      <c r="L295" s="243"/>
      <c r="M295" s="244" t="s">
        <v>99</v>
      </c>
      <c r="N295" s="244"/>
      <c r="O295" s="119">
        <v>0</v>
      </c>
      <c r="Q295" s="119">
        <v>0</v>
      </c>
      <c r="S295" s="240">
        <v>1</v>
      </c>
      <c r="T295" s="240"/>
      <c r="W295" s="119">
        <v>0</v>
      </c>
      <c r="Y295" s="119">
        <v>1</v>
      </c>
    </row>
    <row r="296" spans="1:25" ht="15" customHeight="1">
      <c r="A296" s="241">
        <v>222</v>
      </c>
      <c r="B296" s="241"/>
      <c r="C296" s="241"/>
      <c r="D296" s="118">
        <v>6089</v>
      </c>
      <c r="F296" s="242" t="s">
        <v>330</v>
      </c>
      <c r="G296" s="242"/>
      <c r="I296" s="242" t="s">
        <v>325</v>
      </c>
      <c r="J296" s="242"/>
      <c r="K296" s="243">
        <v>44181</v>
      </c>
      <c r="L296" s="243"/>
      <c r="M296" s="244" t="s">
        <v>97</v>
      </c>
      <c r="N296" s="244"/>
      <c r="O296" s="119">
        <v>1</v>
      </c>
      <c r="Q296" s="119">
        <v>0</v>
      </c>
      <c r="S296" s="240">
        <v>0</v>
      </c>
      <c r="T296" s="240"/>
      <c r="W296" s="119">
        <v>0</v>
      </c>
      <c r="Y296" s="119">
        <v>1</v>
      </c>
    </row>
    <row r="297" spans="1:25" ht="15" customHeight="1">
      <c r="A297" s="241">
        <v>223</v>
      </c>
      <c r="B297" s="241"/>
      <c r="C297" s="241"/>
      <c r="D297" s="118">
        <v>5325</v>
      </c>
      <c r="F297" s="242" t="s">
        <v>331</v>
      </c>
      <c r="G297" s="242"/>
      <c r="I297" s="242" t="s">
        <v>325</v>
      </c>
      <c r="J297" s="242"/>
      <c r="K297" s="243">
        <v>43544</v>
      </c>
      <c r="L297" s="243"/>
      <c r="M297" s="244" t="s">
        <v>97</v>
      </c>
      <c r="N297" s="244"/>
      <c r="O297" s="119">
        <v>1</v>
      </c>
      <c r="Q297" s="119">
        <v>0</v>
      </c>
      <c r="S297" s="240">
        <v>0</v>
      </c>
      <c r="T297" s="240"/>
      <c r="W297" s="119">
        <v>0</v>
      </c>
      <c r="Y297" s="119">
        <v>1</v>
      </c>
    </row>
    <row r="298" spans="1:25" ht="15" customHeight="1">
      <c r="A298" s="241">
        <v>224</v>
      </c>
      <c r="B298" s="241"/>
      <c r="C298" s="241"/>
      <c r="D298" s="118">
        <v>16276</v>
      </c>
      <c r="F298" s="242" t="s">
        <v>332</v>
      </c>
      <c r="G298" s="242"/>
      <c r="I298" s="242" t="s">
        <v>325</v>
      </c>
      <c r="J298" s="242"/>
      <c r="K298" s="243">
        <v>43638</v>
      </c>
      <c r="L298" s="243"/>
      <c r="M298" s="244" t="s">
        <v>99</v>
      </c>
      <c r="N298" s="244"/>
      <c r="O298" s="119">
        <v>0</v>
      </c>
      <c r="Q298" s="119">
        <v>1</v>
      </c>
      <c r="S298" s="240">
        <v>0</v>
      </c>
      <c r="T298" s="240"/>
      <c r="W298" s="119">
        <v>0</v>
      </c>
      <c r="Y298" s="119">
        <v>1</v>
      </c>
    </row>
    <row r="299" spans="1:25" ht="15" customHeight="1">
      <c r="A299" s="241">
        <v>225</v>
      </c>
      <c r="B299" s="241"/>
      <c r="C299" s="241"/>
      <c r="D299" s="118">
        <v>6078</v>
      </c>
      <c r="F299" s="242" t="s">
        <v>333</v>
      </c>
      <c r="G299" s="242"/>
      <c r="I299" s="242" t="s">
        <v>325</v>
      </c>
      <c r="J299" s="242"/>
      <c r="K299" s="243">
        <v>44177</v>
      </c>
      <c r="L299" s="243"/>
      <c r="M299" s="244" t="s">
        <v>97</v>
      </c>
      <c r="N299" s="244"/>
      <c r="O299" s="119">
        <v>1</v>
      </c>
      <c r="Q299" s="119">
        <v>0</v>
      </c>
      <c r="S299" s="240">
        <v>0</v>
      </c>
      <c r="T299" s="240"/>
      <c r="W299" s="119">
        <v>0</v>
      </c>
      <c r="Y299" s="119">
        <v>1</v>
      </c>
    </row>
    <row r="300" spans="1:25" ht="15" customHeight="1">
      <c r="A300" s="241">
        <v>226</v>
      </c>
      <c r="B300" s="241"/>
      <c r="C300" s="241"/>
      <c r="D300" s="118">
        <v>5324</v>
      </c>
      <c r="F300" s="242" t="s">
        <v>334</v>
      </c>
      <c r="G300" s="242"/>
      <c r="I300" s="242" t="s">
        <v>325</v>
      </c>
      <c r="J300" s="242"/>
      <c r="K300" s="243">
        <v>43544</v>
      </c>
      <c r="L300" s="243"/>
      <c r="M300" s="244" t="s">
        <v>97</v>
      </c>
      <c r="N300" s="244"/>
      <c r="O300" s="119">
        <v>1</v>
      </c>
      <c r="Q300" s="119">
        <v>0</v>
      </c>
      <c r="S300" s="240">
        <v>0</v>
      </c>
      <c r="T300" s="240"/>
      <c r="W300" s="119">
        <v>0</v>
      </c>
      <c r="Y300" s="119">
        <v>1</v>
      </c>
    </row>
    <row r="301" spans="1:25" ht="15" customHeight="1">
      <c r="A301" s="241">
        <v>227</v>
      </c>
      <c r="B301" s="241"/>
      <c r="C301" s="241"/>
      <c r="D301" s="118">
        <v>5077</v>
      </c>
      <c r="F301" s="242" t="s">
        <v>335</v>
      </c>
      <c r="G301" s="242"/>
      <c r="I301" s="242" t="s">
        <v>325</v>
      </c>
      <c r="J301" s="242"/>
      <c r="K301" s="243">
        <v>43348</v>
      </c>
      <c r="L301" s="243"/>
      <c r="M301" s="244" t="s">
        <v>97</v>
      </c>
      <c r="N301" s="244"/>
      <c r="O301" s="119">
        <v>1</v>
      </c>
      <c r="Q301" s="119">
        <v>0</v>
      </c>
      <c r="S301" s="240">
        <v>0</v>
      </c>
      <c r="T301" s="240"/>
      <c r="W301" s="119">
        <v>0</v>
      </c>
      <c r="Y301" s="119">
        <v>1</v>
      </c>
    </row>
    <row r="302" spans="1:25" ht="15" customHeight="1">
      <c r="A302" s="241">
        <v>228</v>
      </c>
      <c r="B302" s="241"/>
      <c r="C302" s="241"/>
      <c r="D302" s="118">
        <v>16526</v>
      </c>
      <c r="F302" s="242" t="s">
        <v>300</v>
      </c>
      <c r="G302" s="242"/>
      <c r="I302" s="242" t="s">
        <v>325</v>
      </c>
      <c r="J302" s="242"/>
      <c r="K302" s="243">
        <v>44084</v>
      </c>
      <c r="L302" s="243"/>
      <c r="M302" s="244" t="s">
        <v>99</v>
      </c>
      <c r="N302" s="244"/>
      <c r="O302" s="119">
        <v>1</v>
      </c>
      <c r="Q302" s="119">
        <v>0</v>
      </c>
      <c r="S302" s="240">
        <v>0</v>
      </c>
      <c r="T302" s="240"/>
      <c r="W302" s="119">
        <v>0</v>
      </c>
      <c r="Y302" s="119">
        <v>1</v>
      </c>
    </row>
    <row r="303" spans="1:25" ht="15" customHeight="1">
      <c r="A303" s="241">
        <v>229</v>
      </c>
      <c r="B303" s="241"/>
      <c r="C303" s="241"/>
      <c r="D303" s="118">
        <v>16368</v>
      </c>
      <c r="F303" s="242" t="s">
        <v>336</v>
      </c>
      <c r="G303" s="242"/>
      <c r="I303" s="242" t="s">
        <v>325</v>
      </c>
      <c r="J303" s="242"/>
      <c r="K303" s="243">
        <v>43808</v>
      </c>
      <c r="L303" s="243"/>
      <c r="M303" s="244" t="s">
        <v>99</v>
      </c>
      <c r="N303" s="244"/>
      <c r="O303" s="119">
        <v>0</v>
      </c>
      <c r="Q303" s="119">
        <v>1</v>
      </c>
      <c r="S303" s="240">
        <v>0</v>
      </c>
      <c r="T303" s="240"/>
      <c r="W303" s="119">
        <v>0</v>
      </c>
      <c r="Y303" s="119">
        <v>1</v>
      </c>
    </row>
    <row r="304" spans="1:25" ht="15" customHeight="1">
      <c r="A304" s="241">
        <v>230</v>
      </c>
      <c r="B304" s="241"/>
      <c r="C304" s="241"/>
      <c r="D304" s="118">
        <v>16413</v>
      </c>
      <c r="F304" s="242" t="s">
        <v>337</v>
      </c>
      <c r="G304" s="242"/>
      <c r="I304" s="242" t="s">
        <v>325</v>
      </c>
      <c r="J304" s="242"/>
      <c r="K304" s="243">
        <v>43892</v>
      </c>
      <c r="L304" s="243"/>
      <c r="M304" s="244" t="s">
        <v>99</v>
      </c>
      <c r="N304" s="244"/>
      <c r="O304" s="119">
        <v>0</v>
      </c>
      <c r="Q304" s="119">
        <v>0</v>
      </c>
      <c r="S304" s="240">
        <v>1</v>
      </c>
      <c r="T304" s="240"/>
      <c r="W304" s="119">
        <v>0</v>
      </c>
      <c r="Y304" s="119">
        <v>1</v>
      </c>
    </row>
    <row r="305" spans="1:25" ht="15" customHeight="1">
      <c r="A305" s="241">
        <v>231</v>
      </c>
      <c r="B305" s="241"/>
      <c r="C305" s="241"/>
      <c r="D305" s="118">
        <v>3126</v>
      </c>
      <c r="F305" s="242" t="s">
        <v>338</v>
      </c>
      <c r="G305" s="242"/>
      <c r="I305" s="242" t="s">
        <v>325</v>
      </c>
      <c r="J305" s="242"/>
      <c r="K305" s="243">
        <v>42612</v>
      </c>
      <c r="L305" s="243"/>
      <c r="M305" s="244" t="s">
        <v>97</v>
      </c>
      <c r="N305" s="244"/>
      <c r="O305" s="119">
        <v>0</v>
      </c>
      <c r="Q305" s="119">
        <v>1</v>
      </c>
      <c r="S305" s="240">
        <v>0</v>
      </c>
      <c r="T305" s="240"/>
      <c r="W305" s="119">
        <v>0</v>
      </c>
      <c r="Y305" s="119">
        <v>1</v>
      </c>
    </row>
    <row r="306" spans="1:25" ht="15" customHeight="1">
      <c r="A306" s="241">
        <v>232</v>
      </c>
      <c r="B306" s="241"/>
      <c r="C306" s="241"/>
      <c r="D306" s="118">
        <v>16599</v>
      </c>
      <c r="F306" s="242" t="s">
        <v>339</v>
      </c>
      <c r="G306" s="242"/>
      <c r="I306" s="242" t="s">
        <v>325</v>
      </c>
      <c r="J306" s="242"/>
      <c r="K306" s="243">
        <v>44172</v>
      </c>
      <c r="L306" s="243"/>
      <c r="M306" s="244" t="s">
        <v>99</v>
      </c>
      <c r="N306" s="244"/>
      <c r="O306" s="119">
        <v>0</v>
      </c>
      <c r="Q306" s="119">
        <v>0</v>
      </c>
      <c r="S306" s="240">
        <v>1</v>
      </c>
      <c r="T306" s="240"/>
      <c r="W306" s="119">
        <v>0</v>
      </c>
      <c r="Y306" s="119">
        <v>1</v>
      </c>
    </row>
    <row r="307" spans="1:25" ht="15" customHeight="1">
      <c r="A307" s="241">
        <v>233</v>
      </c>
      <c r="B307" s="241"/>
      <c r="C307" s="241"/>
      <c r="D307" s="118">
        <v>16306</v>
      </c>
      <c r="F307" s="242" t="s">
        <v>340</v>
      </c>
      <c r="G307" s="242"/>
      <c r="I307" s="242" t="s">
        <v>325</v>
      </c>
      <c r="J307" s="242"/>
      <c r="K307" s="243">
        <v>43679</v>
      </c>
      <c r="L307" s="243"/>
      <c r="M307" s="244" t="s">
        <v>99</v>
      </c>
      <c r="N307" s="244"/>
      <c r="O307" s="119">
        <v>0</v>
      </c>
      <c r="Q307" s="119">
        <v>1</v>
      </c>
      <c r="S307" s="240">
        <v>0</v>
      </c>
      <c r="T307" s="240"/>
      <c r="W307" s="119">
        <v>0</v>
      </c>
      <c r="Y307" s="119">
        <v>1</v>
      </c>
    </row>
    <row r="308" spans="1:25" ht="15" customHeight="1">
      <c r="A308" s="241">
        <v>234</v>
      </c>
      <c r="B308" s="241"/>
      <c r="C308" s="241"/>
      <c r="D308" s="118">
        <v>16233</v>
      </c>
      <c r="F308" s="242" t="s">
        <v>341</v>
      </c>
      <c r="G308" s="242"/>
      <c r="I308" s="242" t="s">
        <v>325</v>
      </c>
      <c r="J308" s="242"/>
      <c r="K308" s="243">
        <v>43588</v>
      </c>
      <c r="L308" s="243"/>
      <c r="M308" s="244" t="s">
        <v>99</v>
      </c>
      <c r="N308" s="244"/>
      <c r="O308" s="119">
        <v>0</v>
      </c>
      <c r="Q308" s="119">
        <v>0</v>
      </c>
      <c r="S308" s="240">
        <v>1</v>
      </c>
      <c r="T308" s="240"/>
      <c r="W308" s="119">
        <v>0</v>
      </c>
      <c r="Y308" s="119">
        <v>1</v>
      </c>
    </row>
    <row r="309" spans="1:25" ht="15" customHeight="1">
      <c r="A309" s="241">
        <v>235</v>
      </c>
      <c r="B309" s="241"/>
      <c r="C309" s="241"/>
      <c r="D309" s="118">
        <v>3280</v>
      </c>
      <c r="F309" s="242" t="s">
        <v>342</v>
      </c>
      <c r="G309" s="242"/>
      <c r="I309" s="242" t="s">
        <v>325</v>
      </c>
      <c r="J309" s="242"/>
      <c r="K309" s="243">
        <v>43178</v>
      </c>
      <c r="L309" s="243"/>
      <c r="M309" s="244" t="s">
        <v>97</v>
      </c>
      <c r="N309" s="244"/>
      <c r="O309" s="119">
        <v>0</v>
      </c>
      <c r="Q309" s="119">
        <v>0</v>
      </c>
      <c r="S309" s="240">
        <v>1</v>
      </c>
      <c r="T309" s="240"/>
      <c r="W309" s="119">
        <v>0</v>
      </c>
      <c r="Y309" s="119">
        <v>1</v>
      </c>
    </row>
    <row r="310" spans="1:25" ht="15" customHeight="1">
      <c r="A310" s="241">
        <v>236</v>
      </c>
      <c r="B310" s="241"/>
      <c r="C310" s="241"/>
      <c r="D310" s="118">
        <v>4124</v>
      </c>
      <c r="F310" s="242" t="s">
        <v>343</v>
      </c>
      <c r="G310" s="242"/>
      <c r="I310" s="242" t="s">
        <v>325</v>
      </c>
      <c r="J310" s="242"/>
      <c r="K310" s="243">
        <v>42107</v>
      </c>
      <c r="L310" s="243"/>
      <c r="M310" s="244" t="s">
        <v>97</v>
      </c>
      <c r="N310" s="244"/>
      <c r="O310" s="119">
        <v>1</v>
      </c>
      <c r="Q310" s="119">
        <v>0</v>
      </c>
      <c r="S310" s="240">
        <v>0</v>
      </c>
      <c r="T310" s="240"/>
      <c r="W310" s="119">
        <v>0</v>
      </c>
      <c r="Y310" s="119">
        <v>1</v>
      </c>
    </row>
    <row r="311" spans="1:25" ht="15" customHeight="1">
      <c r="A311" s="241">
        <v>237</v>
      </c>
      <c r="B311" s="241"/>
      <c r="C311" s="241"/>
      <c r="D311" s="118">
        <v>5006</v>
      </c>
      <c r="F311" s="242" t="s">
        <v>344</v>
      </c>
      <c r="G311" s="242"/>
      <c r="I311" s="242" t="s">
        <v>325</v>
      </c>
      <c r="J311" s="242"/>
      <c r="K311" s="243">
        <v>43258</v>
      </c>
      <c r="L311" s="243"/>
      <c r="M311" s="244" t="s">
        <v>97</v>
      </c>
      <c r="N311" s="244"/>
      <c r="O311" s="119">
        <v>1</v>
      </c>
      <c r="Q311" s="119">
        <v>0</v>
      </c>
      <c r="S311" s="240">
        <v>0</v>
      </c>
      <c r="T311" s="240"/>
      <c r="W311" s="119">
        <v>0</v>
      </c>
      <c r="Y311" s="119">
        <v>1</v>
      </c>
    </row>
    <row r="312" spans="1:25" ht="15" customHeight="1">
      <c r="A312" s="241">
        <v>238</v>
      </c>
      <c r="B312" s="241"/>
      <c r="C312" s="241"/>
      <c r="D312" s="118">
        <v>16235</v>
      </c>
      <c r="F312" s="242" t="s">
        <v>113</v>
      </c>
      <c r="G312" s="242"/>
      <c r="I312" s="242" t="s">
        <v>325</v>
      </c>
      <c r="J312" s="242"/>
      <c r="K312" s="243">
        <v>43591</v>
      </c>
      <c r="L312" s="243"/>
      <c r="M312" s="244" t="s">
        <v>99</v>
      </c>
      <c r="N312" s="244"/>
      <c r="O312" s="119">
        <v>0</v>
      </c>
      <c r="Q312" s="119">
        <v>0</v>
      </c>
      <c r="S312" s="240">
        <v>1</v>
      </c>
      <c r="T312" s="240"/>
      <c r="W312" s="119">
        <v>0</v>
      </c>
      <c r="Y312" s="119">
        <v>1</v>
      </c>
    </row>
    <row r="313" spans="1:25" ht="15" customHeight="1">
      <c r="A313" s="241">
        <v>239</v>
      </c>
      <c r="B313" s="241"/>
      <c r="C313" s="241"/>
      <c r="D313" s="118">
        <v>16211</v>
      </c>
      <c r="F313" s="242" t="s">
        <v>345</v>
      </c>
      <c r="G313" s="242"/>
      <c r="I313" s="242" t="s">
        <v>325</v>
      </c>
      <c r="J313" s="242"/>
      <c r="K313" s="243">
        <v>43549</v>
      </c>
      <c r="L313" s="243"/>
      <c r="M313" s="244" t="s">
        <v>99</v>
      </c>
      <c r="N313" s="244"/>
      <c r="O313" s="119">
        <v>0</v>
      </c>
      <c r="Q313" s="119">
        <v>0</v>
      </c>
      <c r="S313" s="240">
        <v>1</v>
      </c>
      <c r="T313" s="240"/>
      <c r="W313" s="119">
        <v>0</v>
      </c>
      <c r="Y313" s="119">
        <v>1</v>
      </c>
    </row>
    <row r="314" spans="1:25" ht="15" customHeight="1">
      <c r="A314" s="241">
        <v>240</v>
      </c>
      <c r="B314" s="241"/>
      <c r="C314" s="241"/>
      <c r="D314" s="118">
        <v>16349</v>
      </c>
      <c r="F314" s="242" t="s">
        <v>346</v>
      </c>
      <c r="G314" s="242"/>
      <c r="I314" s="242" t="s">
        <v>325</v>
      </c>
      <c r="J314" s="242"/>
      <c r="K314" s="243">
        <v>43775</v>
      </c>
      <c r="L314" s="243"/>
      <c r="M314" s="244" t="s">
        <v>99</v>
      </c>
      <c r="N314" s="244"/>
      <c r="O314" s="119">
        <v>0</v>
      </c>
      <c r="Q314" s="119">
        <v>1</v>
      </c>
      <c r="S314" s="240">
        <v>0</v>
      </c>
      <c r="T314" s="240"/>
      <c r="W314" s="119">
        <v>0</v>
      </c>
      <c r="Y314" s="119">
        <v>1</v>
      </c>
    </row>
    <row r="315" spans="1:25" ht="15" customHeight="1">
      <c r="A315" s="241">
        <v>241</v>
      </c>
      <c r="B315" s="241"/>
      <c r="C315" s="241"/>
      <c r="D315" s="118">
        <v>16111</v>
      </c>
      <c r="F315" s="242" t="s">
        <v>347</v>
      </c>
      <c r="G315" s="242"/>
      <c r="I315" s="242" t="s">
        <v>325</v>
      </c>
      <c r="J315" s="242"/>
      <c r="K315" s="243">
        <v>43360</v>
      </c>
      <c r="L315" s="243"/>
      <c r="M315" s="244" t="s">
        <v>99</v>
      </c>
      <c r="N315" s="244"/>
      <c r="O315" s="119">
        <v>0</v>
      </c>
      <c r="Q315" s="119">
        <v>1</v>
      </c>
      <c r="S315" s="240">
        <v>0</v>
      </c>
      <c r="T315" s="240"/>
      <c r="W315" s="119">
        <v>0</v>
      </c>
      <c r="Y315" s="119">
        <v>1</v>
      </c>
    </row>
    <row r="316" spans="1:25" ht="15" customHeight="1">
      <c r="A316" s="241">
        <v>242</v>
      </c>
      <c r="B316" s="241"/>
      <c r="C316" s="241"/>
      <c r="D316" s="118">
        <v>15972</v>
      </c>
      <c r="F316" s="242" t="s">
        <v>348</v>
      </c>
      <c r="G316" s="242"/>
      <c r="I316" s="242" t="s">
        <v>325</v>
      </c>
      <c r="J316" s="242"/>
      <c r="K316" s="243">
        <v>43146</v>
      </c>
      <c r="L316" s="243"/>
      <c r="M316" s="244" t="s">
        <v>99</v>
      </c>
      <c r="N316" s="244"/>
      <c r="O316" s="119">
        <v>0</v>
      </c>
      <c r="Q316" s="119">
        <v>0</v>
      </c>
      <c r="S316" s="240">
        <v>1</v>
      </c>
      <c r="T316" s="240"/>
      <c r="W316" s="119">
        <v>0</v>
      </c>
      <c r="Y316" s="119">
        <v>1</v>
      </c>
    </row>
    <row r="317" spans="1:25" ht="15" customHeight="1">
      <c r="A317" s="241">
        <v>243</v>
      </c>
      <c r="B317" s="241"/>
      <c r="C317" s="241"/>
      <c r="D317" s="118">
        <v>5396</v>
      </c>
      <c r="F317" s="242" t="s">
        <v>349</v>
      </c>
      <c r="G317" s="242"/>
      <c r="I317" s="242" t="s">
        <v>325</v>
      </c>
      <c r="J317" s="242"/>
      <c r="K317" s="243">
        <v>43601</v>
      </c>
      <c r="L317" s="243"/>
      <c r="M317" s="244" t="s">
        <v>97</v>
      </c>
      <c r="N317" s="244"/>
      <c r="O317" s="119">
        <v>1</v>
      </c>
      <c r="Q317" s="119">
        <v>0</v>
      </c>
      <c r="S317" s="240">
        <v>0</v>
      </c>
      <c r="T317" s="240"/>
      <c r="W317" s="119">
        <v>0</v>
      </c>
      <c r="Y317" s="119">
        <v>1</v>
      </c>
    </row>
    <row r="318" spans="1:25" ht="15" customHeight="1">
      <c r="A318" s="241">
        <v>244</v>
      </c>
      <c r="B318" s="241"/>
      <c r="C318" s="241"/>
      <c r="D318" s="118">
        <v>3078</v>
      </c>
      <c r="F318" s="242" t="s">
        <v>350</v>
      </c>
      <c r="G318" s="242"/>
      <c r="I318" s="242" t="s">
        <v>325</v>
      </c>
      <c r="J318" s="242"/>
      <c r="K318" s="243">
        <v>42331</v>
      </c>
      <c r="L318" s="243"/>
      <c r="M318" s="244" t="s">
        <v>97</v>
      </c>
      <c r="N318" s="244"/>
      <c r="O318" s="119">
        <v>0</v>
      </c>
      <c r="Q318" s="119">
        <v>1</v>
      </c>
      <c r="S318" s="240">
        <v>0</v>
      </c>
      <c r="T318" s="240"/>
      <c r="W318" s="119">
        <v>0</v>
      </c>
      <c r="Y318" s="119">
        <v>1</v>
      </c>
    </row>
    <row r="319" spans="1:25" ht="15" customHeight="1">
      <c r="A319" s="241">
        <v>245</v>
      </c>
      <c r="B319" s="241"/>
      <c r="C319" s="241"/>
      <c r="D319" s="118">
        <v>16348</v>
      </c>
      <c r="F319" s="242" t="s">
        <v>351</v>
      </c>
      <c r="G319" s="242"/>
      <c r="I319" s="242" t="s">
        <v>325</v>
      </c>
      <c r="J319" s="242"/>
      <c r="K319" s="243">
        <v>43776</v>
      </c>
      <c r="L319" s="243"/>
      <c r="M319" s="244" t="s">
        <v>99</v>
      </c>
      <c r="N319" s="244"/>
      <c r="O319" s="119">
        <v>0</v>
      </c>
      <c r="Q319" s="119">
        <v>1</v>
      </c>
      <c r="S319" s="240">
        <v>0</v>
      </c>
      <c r="T319" s="240"/>
      <c r="W319" s="119">
        <v>0</v>
      </c>
      <c r="Y319" s="119">
        <v>1</v>
      </c>
    </row>
    <row r="320" spans="1:25" ht="15" customHeight="1">
      <c r="A320" s="241">
        <v>246</v>
      </c>
      <c r="B320" s="241"/>
      <c r="C320" s="241"/>
      <c r="D320" s="118">
        <v>10118</v>
      </c>
      <c r="F320" s="242" t="s">
        <v>352</v>
      </c>
      <c r="G320" s="242"/>
      <c r="I320" s="242" t="s">
        <v>325</v>
      </c>
      <c r="J320" s="242"/>
      <c r="K320" s="243">
        <v>42322</v>
      </c>
      <c r="L320" s="243"/>
      <c r="M320" s="244" t="s">
        <v>99</v>
      </c>
      <c r="N320" s="244"/>
      <c r="O320" s="119">
        <v>1</v>
      </c>
      <c r="Q320" s="119">
        <v>0</v>
      </c>
      <c r="S320" s="240">
        <v>0</v>
      </c>
      <c r="T320" s="240"/>
      <c r="W320" s="119">
        <v>0</v>
      </c>
      <c r="Y320" s="119">
        <v>1</v>
      </c>
    </row>
    <row r="321" spans="1:25" ht="15" customHeight="1">
      <c r="A321" s="241">
        <v>247</v>
      </c>
      <c r="B321" s="241"/>
      <c r="C321" s="241"/>
      <c r="D321" s="118">
        <v>6099</v>
      </c>
      <c r="F321" s="242" t="s">
        <v>353</v>
      </c>
      <c r="G321" s="242"/>
      <c r="I321" s="242" t="s">
        <v>325</v>
      </c>
      <c r="J321" s="242"/>
      <c r="K321" s="243">
        <v>44195</v>
      </c>
      <c r="L321" s="243"/>
      <c r="M321" s="244" t="s">
        <v>97</v>
      </c>
      <c r="N321" s="244"/>
      <c r="O321" s="119">
        <v>1</v>
      </c>
      <c r="Q321" s="119">
        <v>0</v>
      </c>
      <c r="S321" s="240">
        <v>0</v>
      </c>
      <c r="T321" s="240"/>
      <c r="W321" s="119">
        <v>0</v>
      </c>
      <c r="Y321" s="119">
        <v>1</v>
      </c>
    </row>
    <row r="322" spans="1:25" ht="15" customHeight="1">
      <c r="A322" s="241">
        <v>248</v>
      </c>
      <c r="B322" s="241"/>
      <c r="C322" s="241"/>
      <c r="D322" s="118">
        <v>16412</v>
      </c>
      <c r="F322" s="242" t="s">
        <v>354</v>
      </c>
      <c r="G322" s="242"/>
      <c r="I322" s="242" t="s">
        <v>325</v>
      </c>
      <c r="J322" s="242"/>
      <c r="K322" s="243">
        <v>43890</v>
      </c>
      <c r="L322" s="243"/>
      <c r="M322" s="244" t="s">
        <v>99</v>
      </c>
      <c r="N322" s="244"/>
      <c r="O322" s="119">
        <v>0</v>
      </c>
      <c r="Q322" s="119">
        <v>0</v>
      </c>
      <c r="S322" s="240">
        <v>1</v>
      </c>
      <c r="T322" s="240"/>
      <c r="W322" s="119">
        <v>0</v>
      </c>
      <c r="Y322" s="119">
        <v>1</v>
      </c>
    </row>
    <row r="323" spans="1:25" ht="15" customHeight="1">
      <c r="A323" s="241">
        <v>249</v>
      </c>
      <c r="B323" s="241"/>
      <c r="C323" s="241"/>
      <c r="D323" s="118">
        <v>16393</v>
      </c>
      <c r="F323" s="242" t="s">
        <v>355</v>
      </c>
      <c r="G323" s="242"/>
      <c r="I323" s="242" t="s">
        <v>325</v>
      </c>
      <c r="J323" s="242"/>
      <c r="K323" s="243">
        <v>43854</v>
      </c>
      <c r="L323" s="243"/>
      <c r="M323" s="244" t="s">
        <v>99</v>
      </c>
      <c r="N323" s="244"/>
      <c r="O323" s="119">
        <v>0</v>
      </c>
      <c r="Q323" s="119">
        <v>0</v>
      </c>
      <c r="S323" s="240">
        <v>1</v>
      </c>
      <c r="T323" s="240"/>
      <c r="W323" s="119">
        <v>0</v>
      </c>
      <c r="Y323" s="119">
        <v>1</v>
      </c>
    </row>
    <row r="324" spans="1:25" ht="15" customHeight="1">
      <c r="A324" s="241">
        <v>250</v>
      </c>
      <c r="B324" s="241"/>
      <c r="C324" s="241"/>
      <c r="D324" s="118">
        <v>15871</v>
      </c>
      <c r="F324" s="242" t="s">
        <v>356</v>
      </c>
      <c r="G324" s="242"/>
      <c r="I324" s="242" t="s">
        <v>325</v>
      </c>
      <c r="J324" s="242"/>
      <c r="K324" s="243">
        <v>43009</v>
      </c>
      <c r="L324" s="243"/>
      <c r="M324" s="244" t="s">
        <v>99</v>
      </c>
      <c r="N324" s="244"/>
      <c r="O324" s="119">
        <v>0</v>
      </c>
      <c r="Q324" s="119">
        <v>1</v>
      </c>
      <c r="S324" s="240">
        <v>0</v>
      </c>
      <c r="T324" s="240"/>
      <c r="W324" s="119">
        <v>0</v>
      </c>
      <c r="Y324" s="119">
        <v>1</v>
      </c>
    </row>
    <row r="325" spans="1:25" ht="15" customHeight="1">
      <c r="A325" s="241">
        <v>251</v>
      </c>
      <c r="B325" s="241"/>
      <c r="C325" s="241"/>
      <c r="D325" s="118">
        <v>16305</v>
      </c>
      <c r="F325" s="242" t="s">
        <v>357</v>
      </c>
      <c r="G325" s="242"/>
      <c r="I325" s="242" t="s">
        <v>325</v>
      </c>
      <c r="J325" s="242"/>
      <c r="K325" s="243">
        <v>43679</v>
      </c>
      <c r="L325" s="243"/>
      <c r="M325" s="244" t="s">
        <v>99</v>
      </c>
      <c r="N325" s="244"/>
      <c r="O325" s="119">
        <v>0</v>
      </c>
      <c r="Q325" s="119">
        <v>0</v>
      </c>
      <c r="S325" s="240">
        <v>1</v>
      </c>
      <c r="T325" s="240"/>
      <c r="W325" s="119">
        <v>0</v>
      </c>
      <c r="Y325" s="119">
        <v>1</v>
      </c>
    </row>
    <row r="326" spans="1:25" ht="15" customHeight="1">
      <c r="A326" s="241">
        <v>252</v>
      </c>
      <c r="B326" s="241"/>
      <c r="C326" s="241"/>
      <c r="D326" s="118">
        <v>16355</v>
      </c>
      <c r="F326" s="242" t="s">
        <v>358</v>
      </c>
      <c r="G326" s="242"/>
      <c r="I326" s="242" t="s">
        <v>325</v>
      </c>
      <c r="J326" s="242"/>
      <c r="K326" s="243">
        <v>43787</v>
      </c>
      <c r="L326" s="243"/>
      <c r="M326" s="244" t="s">
        <v>99</v>
      </c>
      <c r="N326" s="244"/>
      <c r="O326" s="119">
        <v>0</v>
      </c>
      <c r="Q326" s="119">
        <v>0</v>
      </c>
      <c r="S326" s="240">
        <v>1</v>
      </c>
      <c r="T326" s="240"/>
      <c r="W326" s="119">
        <v>0</v>
      </c>
      <c r="Y326" s="119">
        <v>1</v>
      </c>
    </row>
    <row r="327" spans="1:25" ht="15" customHeight="1">
      <c r="A327" s="241">
        <v>253</v>
      </c>
      <c r="B327" s="241"/>
      <c r="C327" s="241"/>
      <c r="D327" s="118">
        <v>6197</v>
      </c>
      <c r="F327" s="242" t="s">
        <v>359</v>
      </c>
      <c r="G327" s="242"/>
      <c r="I327" s="242" t="s">
        <v>325</v>
      </c>
      <c r="J327" s="242"/>
      <c r="K327" s="243">
        <v>44267</v>
      </c>
      <c r="L327" s="243"/>
      <c r="M327" s="244" t="s">
        <v>97</v>
      </c>
      <c r="N327" s="244"/>
      <c r="O327" s="119">
        <v>1</v>
      </c>
      <c r="Q327" s="119">
        <v>0</v>
      </c>
      <c r="S327" s="240">
        <v>0</v>
      </c>
      <c r="T327" s="240"/>
      <c r="W327" s="119">
        <v>0</v>
      </c>
      <c r="Y327" s="119">
        <v>1</v>
      </c>
    </row>
    <row r="328" spans="1:25" ht="15" customHeight="1">
      <c r="A328" s="241">
        <v>254</v>
      </c>
      <c r="B328" s="241"/>
      <c r="C328" s="241"/>
      <c r="D328" s="118">
        <v>16236</v>
      </c>
      <c r="F328" s="242" t="s">
        <v>360</v>
      </c>
      <c r="G328" s="242"/>
      <c r="I328" s="242" t="s">
        <v>325</v>
      </c>
      <c r="J328" s="242"/>
      <c r="K328" s="243">
        <v>43592</v>
      </c>
      <c r="L328" s="243"/>
      <c r="M328" s="244" t="s">
        <v>99</v>
      </c>
      <c r="N328" s="244"/>
      <c r="O328" s="119">
        <v>0</v>
      </c>
      <c r="Q328" s="119">
        <v>0</v>
      </c>
      <c r="S328" s="240">
        <v>1</v>
      </c>
      <c r="T328" s="240"/>
      <c r="W328" s="119">
        <v>0</v>
      </c>
      <c r="Y328" s="119">
        <v>1</v>
      </c>
    </row>
    <row r="329" spans="1:25" ht="15" customHeight="1">
      <c r="A329" s="241">
        <v>255</v>
      </c>
      <c r="B329" s="241"/>
      <c r="C329" s="241"/>
      <c r="D329" s="118">
        <v>16323</v>
      </c>
      <c r="F329" s="242" t="s">
        <v>361</v>
      </c>
      <c r="G329" s="242"/>
      <c r="I329" s="242" t="s">
        <v>325</v>
      </c>
      <c r="J329" s="242"/>
      <c r="K329" s="243">
        <v>43706</v>
      </c>
      <c r="L329" s="243"/>
      <c r="M329" s="244" t="s">
        <v>99</v>
      </c>
      <c r="N329" s="244"/>
      <c r="O329" s="119">
        <v>0</v>
      </c>
      <c r="Q329" s="119">
        <v>1</v>
      </c>
      <c r="S329" s="240">
        <v>0</v>
      </c>
      <c r="T329" s="240"/>
      <c r="W329" s="119">
        <v>0</v>
      </c>
      <c r="Y329" s="119">
        <v>1</v>
      </c>
    </row>
    <row r="330" spans="1:25" ht="15" customHeight="1"/>
    <row r="331" spans="1:25" ht="15" customHeight="1">
      <c r="N331" s="240">
        <v>14</v>
      </c>
      <c r="O331" s="240"/>
      <c r="P331" s="240">
        <v>10</v>
      </c>
      <c r="Q331" s="240"/>
      <c r="R331" s="240">
        <v>14</v>
      </c>
      <c r="S331" s="240"/>
      <c r="T331" s="240"/>
      <c r="V331" s="240">
        <v>0</v>
      </c>
      <c r="W331" s="240"/>
      <c r="X331" s="240">
        <v>38</v>
      </c>
      <c r="Y331" s="240"/>
    </row>
    <row r="332" spans="1:25" ht="15" customHeight="1">
      <c r="F332" s="245" t="s">
        <v>362</v>
      </c>
      <c r="G332" s="245"/>
      <c r="H332" s="245"/>
      <c r="I332" s="245"/>
    </row>
    <row r="333" spans="1:25" ht="15" customHeight="1">
      <c r="A333" s="241">
        <v>256</v>
      </c>
      <c r="B333" s="241"/>
      <c r="C333" s="241"/>
      <c r="D333" s="118">
        <v>6163</v>
      </c>
      <c r="F333" s="242" t="s">
        <v>363</v>
      </c>
      <c r="G333" s="242"/>
      <c r="I333" s="242" t="s">
        <v>362</v>
      </c>
      <c r="J333" s="242"/>
      <c r="K333" s="243">
        <v>44243</v>
      </c>
      <c r="L333" s="243"/>
      <c r="M333" s="244" t="s">
        <v>97</v>
      </c>
      <c r="N333" s="244"/>
      <c r="O333" s="119">
        <v>0</v>
      </c>
      <c r="Q333" s="119">
        <v>1</v>
      </c>
      <c r="S333" s="240">
        <v>0</v>
      </c>
      <c r="T333" s="240"/>
      <c r="W333" s="119">
        <v>0</v>
      </c>
      <c r="Y333" s="119">
        <v>1</v>
      </c>
    </row>
    <row r="334" spans="1:25" ht="15" customHeight="1"/>
    <row r="335" spans="1:25" ht="15" customHeight="1">
      <c r="N335" s="240">
        <v>0</v>
      </c>
      <c r="O335" s="240"/>
      <c r="P335" s="240">
        <v>1</v>
      </c>
      <c r="Q335" s="240"/>
      <c r="R335" s="240">
        <v>0</v>
      </c>
      <c r="S335" s="240"/>
      <c r="T335" s="240"/>
      <c r="V335" s="240">
        <v>0</v>
      </c>
      <c r="W335" s="240"/>
      <c r="X335" s="240">
        <v>1</v>
      </c>
      <c r="Y335" s="240"/>
    </row>
    <row r="336" spans="1:25" ht="15" customHeight="1">
      <c r="F336" s="245" t="s">
        <v>364</v>
      </c>
      <c r="G336" s="245"/>
      <c r="H336" s="245"/>
      <c r="I336" s="245"/>
    </row>
    <row r="337" spans="1:25" ht="15" customHeight="1">
      <c r="A337" s="241">
        <v>257</v>
      </c>
      <c r="B337" s="241"/>
      <c r="C337" s="241"/>
      <c r="D337" s="118">
        <v>6206</v>
      </c>
      <c r="F337" s="242" t="s">
        <v>365</v>
      </c>
      <c r="G337" s="242"/>
      <c r="I337" s="242" t="s">
        <v>364</v>
      </c>
      <c r="J337" s="242"/>
      <c r="K337" s="243">
        <v>44272</v>
      </c>
      <c r="L337" s="243"/>
      <c r="M337" s="244" t="s">
        <v>97</v>
      </c>
      <c r="N337" s="244"/>
      <c r="O337" s="119">
        <v>1</v>
      </c>
      <c r="Q337" s="119">
        <v>0</v>
      </c>
      <c r="S337" s="240">
        <v>0</v>
      </c>
      <c r="T337" s="240"/>
      <c r="W337" s="119">
        <v>0</v>
      </c>
      <c r="Y337" s="119">
        <v>1</v>
      </c>
    </row>
    <row r="338" spans="1:25" ht="15" customHeight="1">
      <c r="A338" s="241">
        <v>258</v>
      </c>
      <c r="B338" s="241"/>
      <c r="C338" s="241"/>
      <c r="D338" s="118">
        <v>16684</v>
      </c>
      <c r="F338" s="242" t="s">
        <v>366</v>
      </c>
      <c r="G338" s="242"/>
      <c r="I338" s="242" t="s">
        <v>364</v>
      </c>
      <c r="J338" s="242"/>
      <c r="K338" s="243">
        <v>44288</v>
      </c>
      <c r="L338" s="243"/>
      <c r="M338" s="244" t="s">
        <v>99</v>
      </c>
      <c r="N338" s="244"/>
      <c r="O338" s="119">
        <v>1</v>
      </c>
      <c r="Q338" s="119">
        <v>0</v>
      </c>
      <c r="S338" s="240">
        <v>0</v>
      </c>
      <c r="T338" s="240"/>
      <c r="W338" s="119">
        <v>0</v>
      </c>
      <c r="Y338" s="119">
        <v>1</v>
      </c>
    </row>
    <row r="339" spans="1:25" ht="15" customHeight="1">
      <c r="A339" s="241">
        <v>259</v>
      </c>
      <c r="B339" s="241"/>
      <c r="C339" s="241"/>
      <c r="D339" s="118">
        <v>9001</v>
      </c>
      <c r="F339" s="242" t="s">
        <v>367</v>
      </c>
      <c r="G339" s="242"/>
      <c r="I339" s="242" t="s">
        <v>364</v>
      </c>
      <c r="J339" s="242"/>
      <c r="K339" s="243">
        <v>44236</v>
      </c>
      <c r="L339" s="243"/>
      <c r="M339" s="244" t="s">
        <v>97</v>
      </c>
      <c r="N339" s="244"/>
      <c r="O339" s="119">
        <v>1</v>
      </c>
      <c r="Q339" s="119">
        <v>0</v>
      </c>
      <c r="S339" s="240">
        <v>0</v>
      </c>
      <c r="T339" s="240"/>
      <c r="W339" s="119">
        <v>0</v>
      </c>
      <c r="Y339" s="119">
        <v>1</v>
      </c>
    </row>
    <row r="340" spans="1:25" ht="15" customHeight="1">
      <c r="A340" s="241">
        <v>260</v>
      </c>
      <c r="B340" s="241"/>
      <c r="C340" s="241"/>
      <c r="D340" s="118">
        <v>9501</v>
      </c>
      <c r="F340" s="242" t="s">
        <v>368</v>
      </c>
      <c r="G340" s="242"/>
      <c r="I340" s="242" t="s">
        <v>364</v>
      </c>
      <c r="J340" s="242"/>
      <c r="K340" s="243">
        <v>44273</v>
      </c>
      <c r="L340" s="243"/>
      <c r="M340" s="244" t="s">
        <v>97</v>
      </c>
      <c r="N340" s="244"/>
      <c r="O340" s="119">
        <v>1</v>
      </c>
      <c r="Q340" s="119">
        <v>0</v>
      </c>
      <c r="S340" s="240">
        <v>0</v>
      </c>
      <c r="T340" s="240"/>
      <c r="W340" s="119">
        <v>0</v>
      </c>
      <c r="Y340" s="119">
        <v>1</v>
      </c>
    </row>
    <row r="341" spans="1:25" ht="15" customHeight="1">
      <c r="A341" s="241">
        <v>261</v>
      </c>
      <c r="B341" s="241"/>
      <c r="C341" s="241"/>
      <c r="D341" s="118">
        <v>16668</v>
      </c>
      <c r="F341" s="242" t="s">
        <v>369</v>
      </c>
      <c r="G341" s="242"/>
      <c r="I341" s="242" t="s">
        <v>364</v>
      </c>
      <c r="J341" s="242"/>
      <c r="K341" s="243">
        <v>44273</v>
      </c>
      <c r="L341" s="243"/>
      <c r="M341" s="244" t="s">
        <v>99</v>
      </c>
      <c r="N341" s="244"/>
      <c r="O341" s="119">
        <v>1</v>
      </c>
      <c r="Q341" s="119">
        <v>0</v>
      </c>
      <c r="S341" s="240">
        <v>0</v>
      </c>
      <c r="T341" s="240"/>
      <c r="W341" s="119">
        <v>0</v>
      </c>
      <c r="Y341" s="119">
        <v>1</v>
      </c>
    </row>
    <row r="342" spans="1:25" ht="15" customHeight="1"/>
    <row r="343" spans="1:25" ht="15" customHeight="1">
      <c r="N343" s="240">
        <v>5</v>
      </c>
      <c r="O343" s="240"/>
      <c r="P343" s="240">
        <v>0</v>
      </c>
      <c r="Q343" s="240"/>
      <c r="R343" s="240">
        <v>0</v>
      </c>
      <c r="S343" s="240"/>
      <c r="T343" s="240"/>
      <c r="V343" s="240">
        <v>0</v>
      </c>
      <c r="W343" s="240"/>
      <c r="X343" s="240">
        <v>5</v>
      </c>
      <c r="Y343" s="240"/>
    </row>
    <row r="344" spans="1:25" ht="15" customHeight="1">
      <c r="F344" s="245" t="s">
        <v>370</v>
      </c>
      <c r="G344" s="245"/>
      <c r="H344" s="245"/>
      <c r="I344" s="245"/>
    </row>
    <row r="345" spans="1:25" ht="15" customHeight="1">
      <c r="A345" s="241">
        <v>262</v>
      </c>
      <c r="B345" s="241"/>
      <c r="C345" s="241"/>
      <c r="D345" s="118">
        <v>6181</v>
      </c>
      <c r="F345" s="242" t="s">
        <v>371</v>
      </c>
      <c r="G345" s="242"/>
      <c r="I345" s="242" t="s">
        <v>370</v>
      </c>
      <c r="J345" s="242"/>
      <c r="K345" s="243">
        <v>44258</v>
      </c>
      <c r="L345" s="243"/>
      <c r="M345" s="244" t="s">
        <v>97</v>
      </c>
      <c r="N345" s="244"/>
      <c r="O345" s="119">
        <v>1</v>
      </c>
      <c r="Q345" s="119">
        <v>0</v>
      </c>
      <c r="S345" s="240">
        <v>0</v>
      </c>
      <c r="T345" s="240"/>
      <c r="W345" s="119">
        <v>0</v>
      </c>
      <c r="Y345" s="119">
        <v>1</v>
      </c>
    </row>
    <row r="346" spans="1:25" ht="15" customHeight="1">
      <c r="A346" s="241">
        <v>263</v>
      </c>
      <c r="B346" s="241"/>
      <c r="C346" s="241"/>
      <c r="D346" s="118">
        <v>6180</v>
      </c>
      <c r="F346" s="242" t="s">
        <v>372</v>
      </c>
      <c r="G346" s="242"/>
      <c r="I346" s="242" t="s">
        <v>370</v>
      </c>
      <c r="J346" s="242"/>
      <c r="K346" s="243">
        <v>44258</v>
      </c>
      <c r="L346" s="243"/>
      <c r="M346" s="244" t="s">
        <v>97</v>
      </c>
      <c r="N346" s="244"/>
      <c r="O346" s="119">
        <v>1</v>
      </c>
      <c r="Q346" s="119">
        <v>0</v>
      </c>
      <c r="S346" s="240">
        <v>0</v>
      </c>
      <c r="T346" s="240"/>
      <c r="W346" s="119">
        <v>0</v>
      </c>
      <c r="Y346" s="119">
        <v>1</v>
      </c>
    </row>
    <row r="347" spans="1:25" ht="15" customHeight="1">
      <c r="A347" s="241">
        <v>264</v>
      </c>
      <c r="B347" s="241"/>
      <c r="C347" s="241"/>
      <c r="D347" s="118">
        <v>6212</v>
      </c>
      <c r="F347" s="242" t="s">
        <v>373</v>
      </c>
      <c r="G347" s="242"/>
      <c r="I347" s="242" t="s">
        <v>370</v>
      </c>
      <c r="J347" s="242"/>
      <c r="K347" s="243">
        <v>44279</v>
      </c>
      <c r="L347" s="243"/>
      <c r="M347" s="244" t="s">
        <v>97</v>
      </c>
      <c r="N347" s="244"/>
      <c r="O347" s="119">
        <v>1</v>
      </c>
      <c r="Q347" s="119">
        <v>0</v>
      </c>
      <c r="S347" s="240">
        <v>0</v>
      </c>
      <c r="T347" s="240"/>
      <c r="W347" s="119">
        <v>0</v>
      </c>
      <c r="Y347" s="119">
        <v>1</v>
      </c>
    </row>
    <row r="348" spans="1:25" ht="15" customHeight="1"/>
    <row r="349" spans="1:25" ht="15" customHeight="1">
      <c r="N349" s="240">
        <v>3</v>
      </c>
      <c r="O349" s="240"/>
      <c r="P349" s="240">
        <v>0</v>
      </c>
      <c r="Q349" s="240"/>
      <c r="R349" s="240">
        <v>0</v>
      </c>
      <c r="S349" s="240"/>
      <c r="T349" s="240"/>
      <c r="V349" s="240">
        <v>0</v>
      </c>
      <c r="W349" s="240"/>
      <c r="X349" s="240">
        <v>3</v>
      </c>
      <c r="Y349" s="240"/>
    </row>
    <row r="350" spans="1:25" ht="15" customHeight="1">
      <c r="F350" s="245" t="s">
        <v>374</v>
      </c>
      <c r="G350" s="245"/>
      <c r="H350" s="245"/>
      <c r="I350" s="245"/>
    </row>
    <row r="351" spans="1:25" ht="15" customHeight="1">
      <c r="A351" s="241">
        <v>265</v>
      </c>
      <c r="B351" s="241"/>
      <c r="C351" s="241"/>
      <c r="D351" s="118">
        <v>16366</v>
      </c>
      <c r="F351" s="242" t="s">
        <v>375</v>
      </c>
      <c r="G351" s="242"/>
      <c r="I351" s="242" t="s">
        <v>374</v>
      </c>
      <c r="J351" s="242"/>
      <c r="K351" s="243">
        <v>43804</v>
      </c>
      <c r="L351" s="243"/>
      <c r="M351" s="244" t="s">
        <v>99</v>
      </c>
      <c r="N351" s="244"/>
      <c r="O351" s="119">
        <v>0</v>
      </c>
      <c r="Q351" s="119">
        <v>1</v>
      </c>
      <c r="S351" s="240">
        <v>0</v>
      </c>
      <c r="T351" s="240"/>
      <c r="W351" s="119">
        <v>0</v>
      </c>
      <c r="Y351" s="119">
        <v>1</v>
      </c>
    </row>
    <row r="352" spans="1:25" ht="15" customHeight="1">
      <c r="A352" s="241">
        <v>266</v>
      </c>
      <c r="B352" s="241"/>
      <c r="C352" s="241"/>
      <c r="D352" s="118">
        <v>6224</v>
      </c>
      <c r="F352" s="242" t="s">
        <v>376</v>
      </c>
      <c r="G352" s="242"/>
      <c r="I352" s="242" t="s">
        <v>374</v>
      </c>
      <c r="J352" s="242"/>
      <c r="K352" s="243">
        <v>44287</v>
      </c>
      <c r="L352" s="243"/>
      <c r="M352" s="244" t="s">
        <v>97</v>
      </c>
      <c r="N352" s="244"/>
      <c r="O352" s="119">
        <v>0</v>
      </c>
      <c r="Q352" s="119">
        <v>1</v>
      </c>
      <c r="S352" s="240">
        <v>0</v>
      </c>
      <c r="T352" s="240"/>
      <c r="W352" s="119">
        <v>0</v>
      </c>
      <c r="Y352" s="119">
        <v>1</v>
      </c>
    </row>
    <row r="353" spans="1:25" ht="15" customHeight="1">
      <c r="A353" s="241">
        <v>267</v>
      </c>
      <c r="B353" s="241"/>
      <c r="C353" s="241"/>
      <c r="D353" s="118">
        <v>16667</v>
      </c>
      <c r="F353" s="242" t="s">
        <v>377</v>
      </c>
      <c r="G353" s="242"/>
      <c r="I353" s="242" t="s">
        <v>374</v>
      </c>
      <c r="J353" s="242"/>
      <c r="K353" s="243">
        <v>44273</v>
      </c>
      <c r="L353" s="243"/>
      <c r="M353" s="244" t="s">
        <v>99</v>
      </c>
      <c r="N353" s="244"/>
      <c r="O353" s="119">
        <v>1</v>
      </c>
      <c r="Q353" s="119">
        <v>0</v>
      </c>
      <c r="S353" s="240">
        <v>0</v>
      </c>
      <c r="T353" s="240"/>
      <c r="W353" s="119">
        <v>0</v>
      </c>
      <c r="Y353" s="119">
        <v>1</v>
      </c>
    </row>
    <row r="354" spans="1:25" ht="15" customHeight="1">
      <c r="A354" s="241">
        <v>268</v>
      </c>
      <c r="B354" s="241"/>
      <c r="C354" s="241"/>
      <c r="D354" s="118">
        <v>6021</v>
      </c>
      <c r="F354" s="242" t="s">
        <v>378</v>
      </c>
      <c r="G354" s="242"/>
      <c r="I354" s="242" t="s">
        <v>374</v>
      </c>
      <c r="J354" s="242"/>
      <c r="K354" s="243">
        <v>44112</v>
      </c>
      <c r="L354" s="243"/>
      <c r="M354" s="244" t="s">
        <v>97</v>
      </c>
      <c r="N354" s="244"/>
      <c r="O354" s="119">
        <v>0</v>
      </c>
      <c r="Q354" s="119">
        <v>0</v>
      </c>
      <c r="S354" s="240">
        <v>1</v>
      </c>
      <c r="T354" s="240"/>
      <c r="W354" s="119">
        <v>0</v>
      </c>
      <c r="Y354" s="119">
        <v>1</v>
      </c>
    </row>
    <row r="355" spans="1:25" ht="15" customHeight="1">
      <c r="A355" s="241">
        <v>269</v>
      </c>
      <c r="B355" s="241"/>
      <c r="C355" s="241"/>
      <c r="D355" s="118">
        <v>5984</v>
      </c>
      <c r="F355" s="242" t="s">
        <v>379</v>
      </c>
      <c r="G355" s="242"/>
      <c r="I355" s="242" t="s">
        <v>374</v>
      </c>
      <c r="J355" s="242"/>
      <c r="K355" s="243">
        <v>44046</v>
      </c>
      <c r="L355" s="243"/>
      <c r="M355" s="244" t="s">
        <v>97</v>
      </c>
      <c r="N355" s="244"/>
      <c r="O355" s="119">
        <v>1</v>
      </c>
      <c r="Q355" s="119">
        <v>0</v>
      </c>
      <c r="S355" s="240">
        <v>0</v>
      </c>
      <c r="T355" s="240"/>
      <c r="W355" s="119">
        <v>0</v>
      </c>
      <c r="Y355" s="119">
        <v>1</v>
      </c>
    </row>
    <row r="356" spans="1:25" ht="15" customHeight="1">
      <c r="A356" s="241">
        <v>270</v>
      </c>
      <c r="B356" s="241"/>
      <c r="C356" s="241"/>
      <c r="D356" s="118">
        <v>6171</v>
      </c>
      <c r="F356" s="242" t="s">
        <v>380</v>
      </c>
      <c r="G356" s="242"/>
      <c r="I356" s="242" t="s">
        <v>374</v>
      </c>
      <c r="J356" s="242"/>
      <c r="K356" s="243">
        <v>44245</v>
      </c>
      <c r="L356" s="243"/>
      <c r="M356" s="244" t="s">
        <v>97</v>
      </c>
      <c r="N356" s="244"/>
      <c r="O356" s="119">
        <v>1</v>
      </c>
      <c r="Q356" s="119">
        <v>0</v>
      </c>
      <c r="S356" s="240">
        <v>0</v>
      </c>
      <c r="T356" s="240"/>
      <c r="W356" s="119">
        <v>0</v>
      </c>
      <c r="Y356" s="119">
        <v>1</v>
      </c>
    </row>
    <row r="357" spans="1:25" ht="15" customHeight="1">
      <c r="A357" s="241">
        <v>271</v>
      </c>
      <c r="B357" s="241"/>
      <c r="C357" s="241"/>
      <c r="D357" s="118">
        <v>6203</v>
      </c>
      <c r="F357" s="242" t="s">
        <v>381</v>
      </c>
      <c r="G357" s="242"/>
      <c r="I357" s="242" t="s">
        <v>374</v>
      </c>
      <c r="J357" s="242"/>
      <c r="K357" s="243">
        <v>44272</v>
      </c>
      <c r="L357" s="243"/>
      <c r="M357" s="244" t="s">
        <v>97</v>
      </c>
      <c r="N357" s="244"/>
      <c r="O357" s="119">
        <v>0</v>
      </c>
      <c r="Q357" s="119">
        <v>1</v>
      </c>
      <c r="S357" s="240">
        <v>0</v>
      </c>
      <c r="T357" s="240"/>
      <c r="W357" s="119">
        <v>0</v>
      </c>
      <c r="Y357" s="119">
        <v>1</v>
      </c>
    </row>
    <row r="358" spans="1:25" ht="15" customHeight="1">
      <c r="A358" s="241">
        <v>272</v>
      </c>
      <c r="B358" s="241"/>
      <c r="C358" s="241"/>
      <c r="D358" s="118">
        <v>16653</v>
      </c>
      <c r="F358" s="242" t="s">
        <v>382</v>
      </c>
      <c r="G358" s="242"/>
      <c r="I358" s="242" t="s">
        <v>374</v>
      </c>
      <c r="J358" s="242"/>
      <c r="K358" s="243">
        <v>44245</v>
      </c>
      <c r="L358" s="243"/>
      <c r="M358" s="244" t="s">
        <v>99</v>
      </c>
      <c r="N358" s="244"/>
      <c r="O358" s="119">
        <v>1</v>
      </c>
      <c r="Q358" s="119">
        <v>0</v>
      </c>
      <c r="S358" s="240">
        <v>0</v>
      </c>
      <c r="T358" s="240"/>
      <c r="W358" s="119">
        <v>0</v>
      </c>
      <c r="Y358" s="119">
        <v>1</v>
      </c>
    </row>
    <row r="359" spans="1:25" ht="15" customHeight="1">
      <c r="A359" s="241">
        <v>273</v>
      </c>
      <c r="B359" s="241"/>
      <c r="C359" s="241"/>
      <c r="D359" s="118">
        <v>6071</v>
      </c>
      <c r="F359" s="242" t="s">
        <v>383</v>
      </c>
      <c r="G359" s="242"/>
      <c r="I359" s="242" t="s">
        <v>374</v>
      </c>
      <c r="J359" s="242"/>
      <c r="K359" s="243">
        <v>44173</v>
      </c>
      <c r="L359" s="243"/>
      <c r="M359" s="244" t="s">
        <v>97</v>
      </c>
      <c r="N359" s="244"/>
      <c r="O359" s="119">
        <v>1</v>
      </c>
      <c r="Q359" s="119">
        <v>0</v>
      </c>
      <c r="S359" s="240">
        <v>0</v>
      </c>
      <c r="T359" s="240"/>
      <c r="W359" s="119">
        <v>0</v>
      </c>
      <c r="Y359" s="119">
        <v>1</v>
      </c>
    </row>
    <row r="360" spans="1:25" ht="15" customHeight="1">
      <c r="A360" s="241">
        <v>274</v>
      </c>
      <c r="B360" s="241"/>
      <c r="C360" s="241"/>
      <c r="D360" s="118">
        <v>16419</v>
      </c>
      <c r="F360" s="242" t="s">
        <v>384</v>
      </c>
      <c r="G360" s="242"/>
      <c r="I360" s="242" t="s">
        <v>374</v>
      </c>
      <c r="J360" s="242"/>
      <c r="K360" s="243">
        <v>43899</v>
      </c>
      <c r="L360" s="243"/>
      <c r="M360" s="244" t="s">
        <v>99</v>
      </c>
      <c r="N360" s="244"/>
      <c r="O360" s="119">
        <v>0</v>
      </c>
      <c r="Q360" s="119">
        <v>1</v>
      </c>
      <c r="S360" s="240">
        <v>0</v>
      </c>
      <c r="T360" s="240"/>
      <c r="W360" s="119">
        <v>0</v>
      </c>
      <c r="Y360" s="119">
        <v>1</v>
      </c>
    </row>
    <row r="361" spans="1:25" ht="15" customHeight="1">
      <c r="A361" s="241">
        <v>275</v>
      </c>
      <c r="B361" s="241"/>
      <c r="C361" s="241"/>
      <c r="D361" s="118">
        <v>5952</v>
      </c>
      <c r="F361" s="242" t="s">
        <v>385</v>
      </c>
      <c r="G361" s="242"/>
      <c r="I361" s="242" t="s">
        <v>374</v>
      </c>
      <c r="J361" s="242"/>
      <c r="K361" s="243">
        <v>44019</v>
      </c>
      <c r="L361" s="243"/>
      <c r="M361" s="244" t="s">
        <v>97</v>
      </c>
      <c r="N361" s="244"/>
      <c r="O361" s="119">
        <v>1</v>
      </c>
      <c r="Q361" s="119">
        <v>0</v>
      </c>
      <c r="S361" s="240">
        <v>0</v>
      </c>
      <c r="T361" s="240"/>
      <c r="W361" s="119">
        <v>0</v>
      </c>
      <c r="Y361" s="119">
        <v>1</v>
      </c>
    </row>
    <row r="362" spans="1:25" ht="15" customHeight="1">
      <c r="A362" s="241">
        <v>276</v>
      </c>
      <c r="B362" s="241"/>
      <c r="C362" s="241"/>
      <c r="D362" s="118">
        <v>6223</v>
      </c>
      <c r="F362" s="242" t="s">
        <v>386</v>
      </c>
      <c r="G362" s="242"/>
      <c r="I362" s="242" t="s">
        <v>374</v>
      </c>
      <c r="J362" s="242"/>
      <c r="K362" s="243">
        <v>44287</v>
      </c>
      <c r="L362" s="243"/>
      <c r="M362" s="244" t="s">
        <v>97</v>
      </c>
      <c r="N362" s="244"/>
      <c r="O362" s="119">
        <v>1</v>
      </c>
      <c r="Q362" s="119">
        <v>0</v>
      </c>
      <c r="S362" s="240">
        <v>0</v>
      </c>
      <c r="T362" s="240"/>
      <c r="W362" s="119">
        <v>0</v>
      </c>
      <c r="Y362" s="119">
        <v>1</v>
      </c>
    </row>
    <row r="363" spans="1:25" ht="15" customHeight="1">
      <c r="A363" s="241">
        <v>277</v>
      </c>
      <c r="B363" s="241"/>
      <c r="C363" s="241"/>
      <c r="D363" s="118">
        <v>6119</v>
      </c>
      <c r="F363" s="242" t="s">
        <v>387</v>
      </c>
      <c r="G363" s="242"/>
      <c r="I363" s="242" t="s">
        <v>374</v>
      </c>
      <c r="J363" s="242"/>
      <c r="K363" s="243">
        <v>44214</v>
      </c>
      <c r="L363" s="243"/>
      <c r="M363" s="244" t="s">
        <v>97</v>
      </c>
      <c r="N363" s="244"/>
      <c r="O363" s="119">
        <v>0</v>
      </c>
      <c r="Q363" s="119">
        <v>1</v>
      </c>
      <c r="S363" s="240">
        <v>0</v>
      </c>
      <c r="T363" s="240"/>
      <c r="W363" s="119">
        <v>0</v>
      </c>
      <c r="Y363" s="119">
        <v>1</v>
      </c>
    </row>
    <row r="364" spans="1:25" ht="15" customHeight="1">
      <c r="A364" s="241">
        <v>278</v>
      </c>
      <c r="B364" s="241"/>
      <c r="C364" s="241"/>
      <c r="D364" s="118">
        <v>16454</v>
      </c>
      <c r="F364" s="242" t="s">
        <v>104</v>
      </c>
      <c r="G364" s="242"/>
      <c r="I364" s="242" t="s">
        <v>374</v>
      </c>
      <c r="J364" s="242"/>
      <c r="K364" s="243">
        <v>43990</v>
      </c>
      <c r="L364" s="243"/>
      <c r="M364" s="244" t="s">
        <v>99</v>
      </c>
      <c r="N364" s="244"/>
      <c r="O364" s="119">
        <v>0</v>
      </c>
      <c r="Q364" s="119">
        <v>1</v>
      </c>
      <c r="S364" s="240">
        <v>0</v>
      </c>
      <c r="T364" s="240"/>
      <c r="W364" s="119">
        <v>0</v>
      </c>
      <c r="Y364" s="119">
        <v>1</v>
      </c>
    </row>
    <row r="365" spans="1:25" ht="15" customHeight="1">
      <c r="A365" s="241">
        <v>279</v>
      </c>
      <c r="B365" s="241"/>
      <c r="C365" s="241"/>
      <c r="D365" s="118">
        <v>5889</v>
      </c>
      <c r="F365" s="242" t="s">
        <v>388</v>
      </c>
      <c r="G365" s="242"/>
      <c r="I365" s="242" t="s">
        <v>374</v>
      </c>
      <c r="J365" s="242"/>
      <c r="K365" s="243">
        <v>43987</v>
      </c>
      <c r="L365" s="243"/>
      <c r="M365" s="244" t="s">
        <v>97</v>
      </c>
      <c r="N365" s="244"/>
      <c r="O365" s="119">
        <v>0</v>
      </c>
      <c r="Q365" s="119">
        <v>1</v>
      </c>
      <c r="S365" s="240">
        <v>0</v>
      </c>
      <c r="T365" s="240"/>
      <c r="W365" s="119">
        <v>0</v>
      </c>
      <c r="Y365" s="119">
        <v>1</v>
      </c>
    </row>
    <row r="366" spans="1:25" ht="15" customHeight="1">
      <c r="A366" s="241">
        <v>280</v>
      </c>
      <c r="B366" s="241"/>
      <c r="C366" s="241"/>
      <c r="D366" s="118">
        <v>6004</v>
      </c>
      <c r="F366" s="242" t="s">
        <v>389</v>
      </c>
      <c r="G366" s="242"/>
      <c r="I366" s="242" t="s">
        <v>374</v>
      </c>
      <c r="J366" s="242"/>
      <c r="K366" s="243">
        <v>44075</v>
      </c>
      <c r="L366" s="243"/>
      <c r="M366" s="244" t="s">
        <v>97</v>
      </c>
      <c r="N366" s="244"/>
      <c r="O366" s="119">
        <v>1</v>
      </c>
      <c r="Q366" s="119">
        <v>0</v>
      </c>
      <c r="S366" s="240">
        <v>0</v>
      </c>
      <c r="T366" s="240"/>
      <c r="W366" s="119">
        <v>0</v>
      </c>
      <c r="Y366" s="119">
        <v>1</v>
      </c>
    </row>
    <row r="367" spans="1:25" ht="15" customHeight="1">
      <c r="A367" s="241">
        <v>281</v>
      </c>
      <c r="B367" s="241"/>
      <c r="C367" s="241"/>
      <c r="D367" s="118">
        <v>16519</v>
      </c>
      <c r="F367" s="242" t="s">
        <v>390</v>
      </c>
      <c r="G367" s="242"/>
      <c r="I367" s="242" t="s">
        <v>374</v>
      </c>
      <c r="J367" s="242"/>
      <c r="K367" s="243">
        <v>44076</v>
      </c>
      <c r="L367" s="243"/>
      <c r="M367" s="244" t="s">
        <v>99</v>
      </c>
      <c r="N367" s="244"/>
      <c r="O367" s="119">
        <v>0</v>
      </c>
      <c r="Q367" s="119">
        <v>0</v>
      </c>
      <c r="S367" s="240">
        <v>1</v>
      </c>
      <c r="T367" s="240"/>
      <c r="W367" s="119">
        <v>0</v>
      </c>
      <c r="Y367" s="119">
        <v>1</v>
      </c>
    </row>
    <row r="368" spans="1:25" ht="15" customHeight="1">
      <c r="A368" s="241">
        <v>282</v>
      </c>
      <c r="B368" s="241"/>
      <c r="C368" s="241"/>
      <c r="D368" s="118">
        <v>6086</v>
      </c>
      <c r="F368" s="242" t="s">
        <v>391</v>
      </c>
      <c r="G368" s="242"/>
      <c r="I368" s="242" t="s">
        <v>374</v>
      </c>
      <c r="J368" s="242"/>
      <c r="K368" s="243">
        <v>44179</v>
      </c>
      <c r="L368" s="243"/>
      <c r="M368" s="244" t="s">
        <v>97</v>
      </c>
      <c r="N368" s="244"/>
      <c r="O368" s="119">
        <v>1</v>
      </c>
      <c r="Q368" s="119">
        <v>0</v>
      </c>
      <c r="S368" s="240">
        <v>0</v>
      </c>
      <c r="T368" s="240"/>
      <c r="W368" s="119">
        <v>0</v>
      </c>
      <c r="Y368" s="119">
        <v>1</v>
      </c>
    </row>
    <row r="369" spans="1:25" ht="15" customHeight="1">
      <c r="A369" s="241">
        <v>283</v>
      </c>
      <c r="B369" s="241"/>
      <c r="C369" s="241"/>
      <c r="D369" s="118">
        <v>6118</v>
      </c>
      <c r="F369" s="242" t="s">
        <v>392</v>
      </c>
      <c r="G369" s="242"/>
      <c r="I369" s="242" t="s">
        <v>374</v>
      </c>
      <c r="J369" s="242"/>
      <c r="K369" s="243">
        <v>44214</v>
      </c>
      <c r="L369" s="243"/>
      <c r="M369" s="244" t="s">
        <v>97</v>
      </c>
      <c r="N369" s="244"/>
      <c r="O369" s="119">
        <v>1</v>
      </c>
      <c r="Q369" s="119">
        <v>0</v>
      </c>
      <c r="S369" s="240">
        <v>0</v>
      </c>
      <c r="T369" s="240"/>
      <c r="W369" s="119">
        <v>0</v>
      </c>
      <c r="Y369" s="119">
        <v>1</v>
      </c>
    </row>
    <row r="370" spans="1:25" ht="15" customHeight="1">
      <c r="A370" s="241">
        <v>284</v>
      </c>
      <c r="B370" s="241"/>
      <c r="C370" s="241"/>
      <c r="D370" s="118">
        <v>16685</v>
      </c>
      <c r="F370" s="242" t="s">
        <v>393</v>
      </c>
      <c r="G370" s="242"/>
      <c r="I370" s="242" t="s">
        <v>374</v>
      </c>
      <c r="J370" s="242"/>
      <c r="K370" s="243">
        <v>44291</v>
      </c>
      <c r="L370" s="243"/>
      <c r="M370" s="244" t="s">
        <v>99</v>
      </c>
      <c r="N370" s="244"/>
      <c r="O370" s="119">
        <v>1</v>
      </c>
      <c r="Q370" s="119">
        <v>0</v>
      </c>
      <c r="S370" s="240">
        <v>0</v>
      </c>
      <c r="T370" s="240"/>
      <c r="W370" s="119">
        <v>0</v>
      </c>
      <c r="Y370" s="119">
        <v>1</v>
      </c>
    </row>
    <row r="371" spans="1:25" ht="15" customHeight="1">
      <c r="A371" s="241">
        <v>285</v>
      </c>
      <c r="B371" s="241"/>
      <c r="C371" s="241"/>
      <c r="D371" s="118">
        <v>3352</v>
      </c>
      <c r="F371" s="242" t="s">
        <v>394</v>
      </c>
      <c r="G371" s="242"/>
      <c r="I371" s="242" t="s">
        <v>374</v>
      </c>
      <c r="J371" s="242"/>
      <c r="K371" s="243">
        <v>44271</v>
      </c>
      <c r="L371" s="243"/>
      <c r="M371" s="244" t="s">
        <v>97</v>
      </c>
      <c r="N371" s="244"/>
      <c r="O371" s="119">
        <v>1</v>
      </c>
      <c r="Q371" s="119">
        <v>0</v>
      </c>
      <c r="S371" s="240">
        <v>0</v>
      </c>
      <c r="T371" s="240"/>
      <c r="W371" s="119">
        <v>0</v>
      </c>
      <c r="Y371" s="119">
        <v>1</v>
      </c>
    </row>
    <row r="372" spans="1:25" ht="15" customHeight="1">
      <c r="A372" s="241">
        <v>286</v>
      </c>
      <c r="B372" s="241"/>
      <c r="C372" s="241"/>
      <c r="D372" s="118">
        <v>16590</v>
      </c>
      <c r="F372" s="242" t="s">
        <v>302</v>
      </c>
      <c r="G372" s="242"/>
      <c r="I372" s="242" t="s">
        <v>374</v>
      </c>
      <c r="J372" s="242"/>
      <c r="K372" s="243">
        <v>44161</v>
      </c>
      <c r="L372" s="243"/>
      <c r="M372" s="244" t="s">
        <v>99</v>
      </c>
      <c r="N372" s="244"/>
      <c r="O372" s="119">
        <v>0</v>
      </c>
      <c r="Q372" s="119">
        <v>1</v>
      </c>
      <c r="S372" s="240">
        <v>0</v>
      </c>
      <c r="T372" s="240"/>
      <c r="W372" s="119">
        <v>0</v>
      </c>
      <c r="Y372" s="119">
        <v>1</v>
      </c>
    </row>
    <row r="373" spans="1:25" ht="15" customHeight="1">
      <c r="A373" s="241">
        <v>287</v>
      </c>
      <c r="B373" s="241"/>
      <c r="C373" s="241"/>
      <c r="D373" s="118">
        <v>5935</v>
      </c>
      <c r="F373" s="242" t="s">
        <v>395</v>
      </c>
      <c r="G373" s="242"/>
      <c r="I373" s="242" t="s">
        <v>374</v>
      </c>
      <c r="J373" s="242"/>
      <c r="K373" s="243">
        <v>44013</v>
      </c>
      <c r="L373" s="243"/>
      <c r="M373" s="244" t="s">
        <v>97</v>
      </c>
      <c r="N373" s="244"/>
      <c r="O373" s="119">
        <v>1</v>
      </c>
      <c r="Q373" s="119">
        <v>0</v>
      </c>
      <c r="S373" s="240">
        <v>0</v>
      </c>
      <c r="T373" s="240"/>
      <c r="W373" s="119">
        <v>0</v>
      </c>
      <c r="Y373" s="119">
        <v>1</v>
      </c>
    </row>
    <row r="374" spans="1:25" ht="15" customHeight="1">
      <c r="A374" s="241">
        <v>288</v>
      </c>
      <c r="B374" s="241"/>
      <c r="C374" s="241"/>
      <c r="D374" s="118">
        <v>6016</v>
      </c>
      <c r="F374" s="242" t="s">
        <v>396</v>
      </c>
      <c r="G374" s="242"/>
      <c r="I374" s="242" t="s">
        <v>374</v>
      </c>
      <c r="J374" s="242"/>
      <c r="K374" s="243">
        <v>44097</v>
      </c>
      <c r="L374" s="243"/>
      <c r="M374" s="244" t="s">
        <v>97</v>
      </c>
      <c r="N374" s="244"/>
      <c r="O374" s="119">
        <v>0</v>
      </c>
      <c r="Q374" s="119">
        <v>1</v>
      </c>
      <c r="S374" s="240">
        <v>0</v>
      </c>
      <c r="T374" s="240"/>
      <c r="W374" s="119">
        <v>0</v>
      </c>
      <c r="Y374" s="119">
        <v>1</v>
      </c>
    </row>
    <row r="375" spans="1:25" ht="15" customHeight="1">
      <c r="A375" s="241">
        <v>289</v>
      </c>
      <c r="B375" s="241"/>
      <c r="C375" s="241"/>
      <c r="D375" s="118">
        <v>6214</v>
      </c>
      <c r="F375" s="242" t="s">
        <v>397</v>
      </c>
      <c r="G375" s="242"/>
      <c r="I375" s="242" t="s">
        <v>374</v>
      </c>
      <c r="J375" s="242"/>
      <c r="K375" s="243">
        <v>44279</v>
      </c>
      <c r="L375" s="243"/>
      <c r="M375" s="244" t="s">
        <v>97</v>
      </c>
      <c r="N375" s="244"/>
      <c r="O375" s="119">
        <v>0</v>
      </c>
      <c r="Q375" s="119">
        <v>1</v>
      </c>
      <c r="S375" s="240">
        <v>0</v>
      </c>
      <c r="T375" s="240"/>
      <c r="W375" s="119">
        <v>0</v>
      </c>
      <c r="Y375" s="119">
        <v>1</v>
      </c>
    </row>
    <row r="376" spans="1:25" ht="15" customHeight="1">
      <c r="A376" s="241">
        <v>290</v>
      </c>
      <c r="B376" s="241"/>
      <c r="C376" s="241"/>
      <c r="D376" s="118">
        <v>16204</v>
      </c>
      <c r="F376" s="242" t="s">
        <v>110</v>
      </c>
      <c r="G376" s="242"/>
      <c r="I376" s="242" t="s">
        <v>374</v>
      </c>
      <c r="J376" s="242"/>
      <c r="K376" s="243">
        <v>43543</v>
      </c>
      <c r="L376" s="243"/>
      <c r="M376" s="244" t="s">
        <v>99</v>
      </c>
      <c r="N376" s="244"/>
      <c r="O376" s="119">
        <v>0</v>
      </c>
      <c r="Q376" s="119">
        <v>1</v>
      </c>
      <c r="S376" s="240">
        <v>0</v>
      </c>
      <c r="T376" s="240"/>
      <c r="W376" s="119">
        <v>0</v>
      </c>
      <c r="Y376" s="119">
        <v>1</v>
      </c>
    </row>
    <row r="377" spans="1:25" ht="15" customHeight="1">
      <c r="A377" s="241">
        <v>291</v>
      </c>
      <c r="B377" s="241"/>
      <c r="C377" s="241"/>
      <c r="D377" s="118">
        <v>16680</v>
      </c>
      <c r="F377" s="242" t="s">
        <v>398</v>
      </c>
      <c r="G377" s="242"/>
      <c r="I377" s="242" t="s">
        <v>374</v>
      </c>
      <c r="J377" s="242"/>
      <c r="K377" s="243">
        <v>44287</v>
      </c>
      <c r="L377" s="243"/>
      <c r="M377" s="244" t="s">
        <v>99</v>
      </c>
      <c r="N377" s="244"/>
      <c r="O377" s="119">
        <v>1</v>
      </c>
      <c r="Q377" s="119">
        <v>0</v>
      </c>
      <c r="S377" s="240">
        <v>0</v>
      </c>
      <c r="T377" s="240"/>
      <c r="W377" s="119">
        <v>0</v>
      </c>
      <c r="Y377" s="119">
        <v>1</v>
      </c>
    </row>
    <row r="378" spans="1:25" ht="15" customHeight="1">
      <c r="A378" s="241">
        <v>292</v>
      </c>
      <c r="B378" s="241"/>
      <c r="C378" s="241"/>
      <c r="D378" s="118">
        <v>6139</v>
      </c>
      <c r="F378" s="242" t="s">
        <v>399</v>
      </c>
      <c r="G378" s="242"/>
      <c r="I378" s="242" t="s">
        <v>374</v>
      </c>
      <c r="J378" s="242"/>
      <c r="K378" s="243">
        <v>44229</v>
      </c>
      <c r="L378" s="243"/>
      <c r="M378" s="244" t="s">
        <v>97</v>
      </c>
      <c r="N378" s="244"/>
      <c r="O378" s="119">
        <v>1</v>
      </c>
      <c r="Q378" s="119">
        <v>0</v>
      </c>
      <c r="S378" s="240">
        <v>0</v>
      </c>
      <c r="T378" s="240"/>
      <c r="W378" s="119">
        <v>0</v>
      </c>
      <c r="Y378" s="119">
        <v>1</v>
      </c>
    </row>
    <row r="379" spans="1:25" ht="15" customHeight="1">
      <c r="A379" s="241">
        <v>293</v>
      </c>
      <c r="B379" s="241"/>
      <c r="C379" s="241"/>
      <c r="D379" s="118">
        <v>6219</v>
      </c>
      <c r="F379" s="242" t="s">
        <v>400</v>
      </c>
      <c r="G379" s="242"/>
      <c r="I379" s="242" t="s">
        <v>374</v>
      </c>
      <c r="J379" s="242"/>
      <c r="K379" s="243">
        <v>44285</v>
      </c>
      <c r="L379" s="243"/>
      <c r="M379" s="244" t="s">
        <v>97</v>
      </c>
      <c r="N379" s="244"/>
      <c r="O379" s="119">
        <v>0</v>
      </c>
      <c r="Q379" s="119">
        <v>1</v>
      </c>
      <c r="S379" s="240">
        <v>0</v>
      </c>
      <c r="T379" s="240"/>
      <c r="W379" s="119">
        <v>0</v>
      </c>
      <c r="Y379" s="119">
        <v>1</v>
      </c>
    </row>
    <row r="380" spans="1:25" ht="15" customHeight="1">
      <c r="A380" s="241">
        <v>294</v>
      </c>
      <c r="B380" s="241"/>
      <c r="C380" s="241"/>
      <c r="D380" s="118">
        <v>3349</v>
      </c>
      <c r="F380" s="242" t="s">
        <v>401</v>
      </c>
      <c r="G380" s="242"/>
      <c r="I380" s="242" t="s">
        <v>374</v>
      </c>
      <c r="J380" s="242"/>
      <c r="K380" s="243">
        <v>44014</v>
      </c>
      <c r="L380" s="243"/>
      <c r="M380" s="244" t="s">
        <v>97</v>
      </c>
      <c r="N380" s="244"/>
      <c r="O380" s="119">
        <v>0</v>
      </c>
      <c r="Q380" s="119">
        <v>1</v>
      </c>
      <c r="S380" s="240">
        <v>0</v>
      </c>
      <c r="T380" s="240"/>
      <c r="W380" s="119">
        <v>0</v>
      </c>
      <c r="Y380" s="119">
        <v>1</v>
      </c>
    </row>
    <row r="381" spans="1:25" ht="15" customHeight="1">
      <c r="A381" s="241">
        <v>295</v>
      </c>
      <c r="B381" s="241"/>
      <c r="C381" s="241"/>
      <c r="D381" s="118">
        <v>16636</v>
      </c>
      <c r="F381" s="242" t="s">
        <v>402</v>
      </c>
      <c r="G381" s="242"/>
      <c r="I381" s="242" t="s">
        <v>374</v>
      </c>
      <c r="J381" s="242"/>
      <c r="K381" s="243">
        <v>44224</v>
      </c>
      <c r="L381" s="243"/>
      <c r="M381" s="244" t="s">
        <v>99</v>
      </c>
      <c r="N381" s="244"/>
      <c r="O381" s="119">
        <v>1</v>
      </c>
      <c r="Q381" s="119">
        <v>0</v>
      </c>
      <c r="S381" s="240">
        <v>0</v>
      </c>
      <c r="T381" s="240"/>
      <c r="W381" s="119">
        <v>0</v>
      </c>
      <c r="Y381" s="119">
        <v>1</v>
      </c>
    </row>
    <row r="382" spans="1:25" ht="15" customHeight="1">
      <c r="A382" s="241">
        <v>296</v>
      </c>
      <c r="B382" s="241"/>
      <c r="C382" s="241"/>
      <c r="D382" s="118">
        <v>6230</v>
      </c>
      <c r="F382" s="242" t="s">
        <v>233</v>
      </c>
      <c r="G382" s="242"/>
      <c r="I382" s="242" t="s">
        <v>374</v>
      </c>
      <c r="J382" s="242"/>
      <c r="K382" s="243">
        <v>44291</v>
      </c>
      <c r="L382" s="243"/>
      <c r="M382" s="244" t="s">
        <v>97</v>
      </c>
      <c r="N382" s="244"/>
      <c r="O382" s="119">
        <v>1</v>
      </c>
      <c r="Q382" s="119">
        <v>0</v>
      </c>
      <c r="S382" s="240">
        <v>0</v>
      </c>
      <c r="T382" s="240"/>
      <c r="W382" s="119">
        <v>0</v>
      </c>
      <c r="Y382" s="119">
        <v>1</v>
      </c>
    </row>
    <row r="383" spans="1:25" ht="15" customHeight="1">
      <c r="A383" s="241">
        <v>297</v>
      </c>
      <c r="B383" s="241"/>
      <c r="C383" s="241"/>
      <c r="D383" s="118">
        <v>6025</v>
      </c>
      <c r="F383" s="242" t="s">
        <v>403</v>
      </c>
      <c r="G383" s="242"/>
      <c r="I383" s="242" t="s">
        <v>374</v>
      </c>
      <c r="J383" s="242"/>
      <c r="K383" s="243">
        <v>44114</v>
      </c>
      <c r="L383" s="243"/>
      <c r="M383" s="244" t="s">
        <v>97</v>
      </c>
      <c r="N383" s="244"/>
      <c r="O383" s="119">
        <v>0</v>
      </c>
      <c r="Q383" s="119">
        <v>0</v>
      </c>
      <c r="S383" s="240">
        <v>1</v>
      </c>
      <c r="T383" s="240"/>
      <c r="W383" s="119">
        <v>0</v>
      </c>
      <c r="Y383" s="119">
        <v>1</v>
      </c>
    </row>
    <row r="384" spans="1:25" ht="15" customHeight="1">
      <c r="A384" s="241">
        <v>298</v>
      </c>
      <c r="B384" s="241"/>
      <c r="C384" s="241"/>
      <c r="D384" s="118">
        <v>6184</v>
      </c>
      <c r="F384" s="242" t="s">
        <v>404</v>
      </c>
      <c r="G384" s="242"/>
      <c r="I384" s="242" t="s">
        <v>374</v>
      </c>
      <c r="J384" s="242"/>
      <c r="K384" s="243">
        <v>44259</v>
      </c>
      <c r="L384" s="243"/>
      <c r="M384" s="244" t="s">
        <v>97</v>
      </c>
      <c r="N384" s="244"/>
      <c r="O384" s="119">
        <v>0</v>
      </c>
      <c r="Q384" s="119">
        <v>1</v>
      </c>
      <c r="S384" s="240">
        <v>0</v>
      </c>
      <c r="T384" s="240"/>
      <c r="W384" s="119">
        <v>0</v>
      </c>
      <c r="Y384" s="119">
        <v>1</v>
      </c>
    </row>
    <row r="385" spans="1:25" ht="15" customHeight="1">
      <c r="A385" s="241">
        <v>299</v>
      </c>
      <c r="B385" s="241"/>
      <c r="C385" s="241"/>
      <c r="D385" s="118">
        <v>6213</v>
      </c>
      <c r="F385" s="242" t="s">
        <v>405</v>
      </c>
      <c r="G385" s="242"/>
      <c r="I385" s="242" t="s">
        <v>374</v>
      </c>
      <c r="J385" s="242"/>
      <c r="K385" s="243">
        <v>44279</v>
      </c>
      <c r="L385" s="243"/>
      <c r="M385" s="244" t="s">
        <v>97</v>
      </c>
      <c r="N385" s="244"/>
      <c r="O385" s="119">
        <v>0</v>
      </c>
      <c r="Q385" s="119">
        <v>1</v>
      </c>
      <c r="S385" s="240">
        <v>0</v>
      </c>
      <c r="T385" s="240"/>
      <c r="W385" s="119">
        <v>0</v>
      </c>
      <c r="Y385" s="119">
        <v>1</v>
      </c>
    </row>
    <row r="386" spans="1:25" ht="15" customHeight="1">
      <c r="A386" s="241">
        <v>300</v>
      </c>
      <c r="B386" s="241"/>
      <c r="C386" s="241"/>
      <c r="D386" s="118">
        <v>16644</v>
      </c>
      <c r="F386" s="242" t="s">
        <v>406</v>
      </c>
      <c r="G386" s="242"/>
      <c r="I386" s="242" t="s">
        <v>374</v>
      </c>
      <c r="J386" s="242"/>
      <c r="K386" s="243">
        <v>44231</v>
      </c>
      <c r="L386" s="243"/>
      <c r="M386" s="244" t="s">
        <v>99</v>
      </c>
      <c r="N386" s="244"/>
      <c r="O386" s="119">
        <v>1</v>
      </c>
      <c r="Q386" s="119">
        <v>0</v>
      </c>
      <c r="S386" s="240">
        <v>0</v>
      </c>
      <c r="T386" s="240"/>
      <c r="W386" s="119">
        <v>0</v>
      </c>
      <c r="Y386" s="119">
        <v>1</v>
      </c>
    </row>
    <row r="387" spans="1:25" ht="15" customHeight="1">
      <c r="A387" s="241">
        <v>301</v>
      </c>
      <c r="B387" s="241"/>
      <c r="C387" s="241"/>
      <c r="D387" s="118">
        <v>6228</v>
      </c>
      <c r="F387" s="242" t="s">
        <v>407</v>
      </c>
      <c r="G387" s="242"/>
      <c r="I387" s="242" t="s">
        <v>374</v>
      </c>
      <c r="J387" s="242"/>
      <c r="K387" s="243">
        <v>44288</v>
      </c>
      <c r="L387" s="243"/>
      <c r="M387" s="244" t="s">
        <v>97</v>
      </c>
      <c r="N387" s="244"/>
      <c r="O387" s="119">
        <v>0</v>
      </c>
      <c r="Q387" s="119">
        <v>1</v>
      </c>
      <c r="S387" s="240">
        <v>0</v>
      </c>
      <c r="T387" s="240"/>
      <c r="W387" s="119">
        <v>0</v>
      </c>
      <c r="Y387" s="119">
        <v>1</v>
      </c>
    </row>
    <row r="388" spans="1:25" ht="15" customHeight="1">
      <c r="A388" s="241">
        <v>302</v>
      </c>
      <c r="B388" s="241"/>
      <c r="C388" s="241"/>
      <c r="D388" s="118">
        <v>16434</v>
      </c>
      <c r="F388" s="242" t="s">
        <v>288</v>
      </c>
      <c r="G388" s="242"/>
      <c r="I388" s="242" t="s">
        <v>374</v>
      </c>
      <c r="J388" s="242"/>
      <c r="K388" s="243">
        <v>43958</v>
      </c>
      <c r="L388" s="243"/>
      <c r="M388" s="244" t="s">
        <v>99</v>
      </c>
      <c r="N388" s="244"/>
      <c r="O388" s="119">
        <v>0</v>
      </c>
      <c r="Q388" s="119">
        <v>1</v>
      </c>
      <c r="S388" s="240">
        <v>0</v>
      </c>
      <c r="T388" s="240"/>
      <c r="W388" s="119">
        <v>0</v>
      </c>
      <c r="Y388" s="119">
        <v>1</v>
      </c>
    </row>
    <row r="389" spans="1:25" ht="15" customHeight="1">
      <c r="A389" s="241">
        <v>303</v>
      </c>
      <c r="B389" s="241"/>
      <c r="C389" s="241"/>
      <c r="D389" s="118">
        <v>16507</v>
      </c>
      <c r="F389" s="242" t="s">
        <v>408</v>
      </c>
      <c r="G389" s="242"/>
      <c r="I389" s="242" t="s">
        <v>374</v>
      </c>
      <c r="J389" s="242"/>
      <c r="K389" s="243">
        <v>44062</v>
      </c>
      <c r="L389" s="243"/>
      <c r="M389" s="244" t="s">
        <v>99</v>
      </c>
      <c r="N389" s="244"/>
      <c r="O389" s="119">
        <v>0</v>
      </c>
      <c r="Q389" s="119">
        <v>1</v>
      </c>
      <c r="S389" s="240">
        <v>0</v>
      </c>
      <c r="T389" s="240"/>
      <c r="W389" s="119">
        <v>0</v>
      </c>
      <c r="Y389" s="119">
        <v>1</v>
      </c>
    </row>
    <row r="390" spans="1:25" ht="15" customHeight="1">
      <c r="A390" s="241">
        <v>304</v>
      </c>
      <c r="B390" s="241"/>
      <c r="C390" s="241"/>
      <c r="D390" s="118">
        <v>6152</v>
      </c>
      <c r="F390" s="242" t="s">
        <v>118</v>
      </c>
      <c r="G390" s="242"/>
      <c r="I390" s="242" t="s">
        <v>374</v>
      </c>
      <c r="J390" s="242"/>
      <c r="K390" s="243">
        <v>44238</v>
      </c>
      <c r="L390" s="243"/>
      <c r="M390" s="244" t="s">
        <v>97</v>
      </c>
      <c r="N390" s="244"/>
      <c r="O390" s="119">
        <v>1</v>
      </c>
      <c r="Q390" s="119">
        <v>0</v>
      </c>
      <c r="S390" s="240">
        <v>0</v>
      </c>
      <c r="T390" s="240"/>
      <c r="W390" s="119">
        <v>0</v>
      </c>
      <c r="Y390" s="119">
        <v>1</v>
      </c>
    </row>
    <row r="391" spans="1:25" ht="15" customHeight="1">
      <c r="A391" s="241">
        <v>305</v>
      </c>
      <c r="B391" s="241"/>
      <c r="C391" s="241"/>
      <c r="D391" s="118">
        <v>16652</v>
      </c>
      <c r="F391" s="242" t="s">
        <v>352</v>
      </c>
      <c r="G391" s="242"/>
      <c r="I391" s="242" t="s">
        <v>374</v>
      </c>
      <c r="J391" s="242"/>
      <c r="K391" s="243">
        <v>44245</v>
      </c>
      <c r="L391" s="243"/>
      <c r="M391" s="244" t="s">
        <v>99</v>
      </c>
      <c r="N391" s="244"/>
      <c r="O391" s="119">
        <v>1</v>
      </c>
      <c r="Q391" s="119">
        <v>0</v>
      </c>
      <c r="S391" s="240">
        <v>0</v>
      </c>
      <c r="T391" s="240"/>
      <c r="W391" s="119">
        <v>0</v>
      </c>
      <c r="Y391" s="119">
        <v>1</v>
      </c>
    </row>
    <row r="392" spans="1:25" ht="15" customHeight="1">
      <c r="A392" s="241">
        <v>306</v>
      </c>
      <c r="B392" s="241"/>
      <c r="C392" s="241"/>
      <c r="D392" s="118">
        <v>16543</v>
      </c>
      <c r="F392" s="242" t="s">
        <v>409</v>
      </c>
      <c r="G392" s="242"/>
      <c r="I392" s="242" t="s">
        <v>374</v>
      </c>
      <c r="J392" s="242"/>
      <c r="K392" s="243">
        <v>44097</v>
      </c>
      <c r="L392" s="243"/>
      <c r="M392" s="244" t="s">
        <v>99</v>
      </c>
      <c r="N392" s="244"/>
      <c r="O392" s="119">
        <v>0</v>
      </c>
      <c r="Q392" s="119">
        <v>0</v>
      </c>
      <c r="S392" s="240">
        <v>1</v>
      </c>
      <c r="T392" s="240"/>
      <c r="W392" s="119">
        <v>0</v>
      </c>
      <c r="Y392" s="119">
        <v>1</v>
      </c>
    </row>
    <row r="393" spans="1:25" ht="15" customHeight="1">
      <c r="A393" s="241">
        <v>307</v>
      </c>
      <c r="B393" s="241"/>
      <c r="C393" s="241"/>
      <c r="D393" s="118">
        <v>16452</v>
      </c>
      <c r="F393" s="242" t="s">
        <v>410</v>
      </c>
      <c r="G393" s="242"/>
      <c r="I393" s="242" t="s">
        <v>374</v>
      </c>
      <c r="J393" s="242"/>
      <c r="K393" s="243">
        <v>43986</v>
      </c>
      <c r="L393" s="243"/>
      <c r="M393" s="244" t="s">
        <v>99</v>
      </c>
      <c r="N393" s="244"/>
      <c r="O393" s="119">
        <v>0</v>
      </c>
      <c r="Q393" s="119">
        <v>0</v>
      </c>
      <c r="S393" s="240">
        <v>1</v>
      </c>
      <c r="T393" s="240"/>
      <c r="W393" s="119">
        <v>0</v>
      </c>
      <c r="Y393" s="119">
        <v>1</v>
      </c>
    </row>
    <row r="394" spans="1:25" ht="15" customHeight="1">
      <c r="A394" s="241">
        <v>308</v>
      </c>
      <c r="B394" s="241"/>
      <c r="C394" s="241"/>
      <c r="D394" s="118">
        <v>6226</v>
      </c>
      <c r="F394" s="242" t="s">
        <v>411</v>
      </c>
      <c r="G394" s="242"/>
      <c r="I394" s="242" t="s">
        <v>374</v>
      </c>
      <c r="J394" s="242"/>
      <c r="K394" s="243">
        <v>44288</v>
      </c>
      <c r="L394" s="243"/>
      <c r="M394" s="244" t="s">
        <v>97</v>
      </c>
      <c r="N394" s="244"/>
      <c r="O394" s="119">
        <v>0</v>
      </c>
      <c r="Q394" s="119">
        <v>1</v>
      </c>
      <c r="S394" s="240">
        <v>0</v>
      </c>
      <c r="T394" s="240"/>
      <c r="W394" s="119">
        <v>0</v>
      </c>
      <c r="Y394" s="119">
        <v>1</v>
      </c>
    </row>
    <row r="395" spans="1:25" ht="15" customHeight="1">
      <c r="A395" s="241">
        <v>309</v>
      </c>
      <c r="B395" s="241"/>
      <c r="C395" s="241"/>
      <c r="D395" s="118">
        <v>16358</v>
      </c>
      <c r="F395" s="242" t="s">
        <v>412</v>
      </c>
      <c r="G395" s="242"/>
      <c r="I395" s="242" t="s">
        <v>374</v>
      </c>
      <c r="J395" s="242"/>
      <c r="K395" s="243">
        <v>43791</v>
      </c>
      <c r="L395" s="243"/>
      <c r="M395" s="244" t="s">
        <v>99</v>
      </c>
      <c r="N395" s="244"/>
      <c r="O395" s="119">
        <v>0</v>
      </c>
      <c r="Q395" s="119">
        <v>1</v>
      </c>
      <c r="S395" s="240">
        <v>0</v>
      </c>
      <c r="T395" s="240"/>
      <c r="W395" s="119">
        <v>0</v>
      </c>
      <c r="Y395" s="119">
        <v>1</v>
      </c>
    </row>
    <row r="396" spans="1:25" ht="15" customHeight="1">
      <c r="A396" s="241">
        <v>310</v>
      </c>
      <c r="B396" s="241"/>
      <c r="C396" s="241"/>
      <c r="D396" s="118">
        <v>16632</v>
      </c>
      <c r="F396" s="242" t="s">
        <v>125</v>
      </c>
      <c r="G396" s="242"/>
      <c r="I396" s="242" t="s">
        <v>374</v>
      </c>
      <c r="J396" s="242"/>
      <c r="K396" s="243">
        <v>44221</v>
      </c>
      <c r="L396" s="243"/>
      <c r="M396" s="244" t="s">
        <v>99</v>
      </c>
      <c r="N396" s="244"/>
      <c r="O396" s="119">
        <v>0</v>
      </c>
      <c r="Q396" s="119">
        <v>1</v>
      </c>
      <c r="S396" s="240">
        <v>0</v>
      </c>
      <c r="T396" s="240"/>
      <c r="W396" s="119">
        <v>0</v>
      </c>
      <c r="Y396" s="119">
        <v>1</v>
      </c>
    </row>
    <row r="397" spans="1:25" ht="15" customHeight="1">
      <c r="A397" s="241">
        <v>311</v>
      </c>
      <c r="B397" s="241"/>
      <c r="C397" s="241"/>
      <c r="D397" s="118">
        <v>16559</v>
      </c>
      <c r="F397" s="242" t="s">
        <v>413</v>
      </c>
      <c r="G397" s="242"/>
      <c r="I397" s="242" t="s">
        <v>374</v>
      </c>
      <c r="J397" s="242"/>
      <c r="K397" s="243">
        <v>44113</v>
      </c>
      <c r="L397" s="243"/>
      <c r="M397" s="244" t="s">
        <v>99</v>
      </c>
      <c r="N397" s="244"/>
      <c r="O397" s="119">
        <v>0</v>
      </c>
      <c r="Q397" s="119">
        <v>0</v>
      </c>
      <c r="S397" s="240">
        <v>1</v>
      </c>
      <c r="T397" s="240"/>
      <c r="W397" s="119">
        <v>0</v>
      </c>
      <c r="Y397" s="119">
        <v>1</v>
      </c>
    </row>
    <row r="398" spans="1:25" ht="15" customHeight="1">
      <c r="A398" s="241">
        <v>312</v>
      </c>
      <c r="B398" s="241"/>
      <c r="C398" s="241"/>
      <c r="D398" s="118">
        <v>16476</v>
      </c>
      <c r="F398" s="242" t="s">
        <v>414</v>
      </c>
      <c r="G398" s="242"/>
      <c r="I398" s="242" t="s">
        <v>374</v>
      </c>
      <c r="J398" s="242"/>
      <c r="K398" s="243">
        <v>44012</v>
      </c>
      <c r="L398" s="243"/>
      <c r="M398" s="244" t="s">
        <v>99</v>
      </c>
      <c r="N398" s="244"/>
      <c r="O398" s="119">
        <v>0</v>
      </c>
      <c r="Q398" s="119">
        <v>0</v>
      </c>
      <c r="S398" s="240">
        <v>1</v>
      </c>
      <c r="T398" s="240"/>
      <c r="W398" s="119">
        <v>0</v>
      </c>
      <c r="Y398" s="119">
        <v>1</v>
      </c>
    </row>
    <row r="399" spans="1:25" ht="15" customHeight="1">
      <c r="A399" s="241">
        <v>313</v>
      </c>
      <c r="B399" s="241"/>
      <c r="C399" s="241"/>
      <c r="D399" s="118">
        <v>16536</v>
      </c>
      <c r="F399" s="242" t="s">
        <v>415</v>
      </c>
      <c r="G399" s="242"/>
      <c r="I399" s="242" t="s">
        <v>374</v>
      </c>
      <c r="J399" s="242"/>
      <c r="K399" s="243">
        <v>44093</v>
      </c>
      <c r="L399" s="243"/>
      <c r="M399" s="244" t="s">
        <v>99</v>
      </c>
      <c r="N399" s="244"/>
      <c r="O399" s="119">
        <v>0</v>
      </c>
      <c r="Q399" s="119">
        <v>1</v>
      </c>
      <c r="S399" s="240">
        <v>0</v>
      </c>
      <c r="T399" s="240"/>
      <c r="W399" s="119">
        <v>0</v>
      </c>
      <c r="Y399" s="119">
        <v>1</v>
      </c>
    </row>
    <row r="400" spans="1:25" ht="15" customHeight="1">
      <c r="A400" s="241">
        <v>314</v>
      </c>
      <c r="B400" s="241"/>
      <c r="C400" s="241"/>
      <c r="D400" s="118">
        <v>6101</v>
      </c>
      <c r="F400" s="242" t="s">
        <v>416</v>
      </c>
      <c r="G400" s="242"/>
      <c r="I400" s="242" t="s">
        <v>374</v>
      </c>
      <c r="J400" s="242"/>
      <c r="K400" s="243">
        <v>44197</v>
      </c>
      <c r="L400" s="243"/>
      <c r="M400" s="244" t="s">
        <v>97</v>
      </c>
      <c r="N400" s="244"/>
      <c r="O400" s="119">
        <v>1</v>
      </c>
      <c r="Q400" s="119">
        <v>0</v>
      </c>
      <c r="S400" s="240">
        <v>0</v>
      </c>
      <c r="T400" s="240"/>
      <c r="W400" s="119">
        <v>0</v>
      </c>
      <c r="Y400" s="119">
        <v>1</v>
      </c>
    </row>
    <row r="401" spans="1:25" ht="15" customHeight="1">
      <c r="A401" s="241">
        <v>315</v>
      </c>
      <c r="B401" s="241"/>
      <c r="C401" s="241"/>
      <c r="D401" s="118">
        <v>16511</v>
      </c>
      <c r="F401" s="242" t="s">
        <v>417</v>
      </c>
      <c r="G401" s="242"/>
      <c r="I401" s="242" t="s">
        <v>374</v>
      </c>
      <c r="J401" s="242"/>
      <c r="K401" s="243">
        <v>44014</v>
      </c>
      <c r="L401" s="243"/>
      <c r="M401" s="244" t="s">
        <v>99</v>
      </c>
      <c r="N401" s="244"/>
      <c r="O401" s="119">
        <v>0</v>
      </c>
      <c r="Q401" s="119">
        <v>0</v>
      </c>
      <c r="S401" s="240">
        <v>1</v>
      </c>
      <c r="T401" s="240"/>
      <c r="W401" s="119">
        <v>0</v>
      </c>
      <c r="Y401" s="119">
        <v>1</v>
      </c>
    </row>
    <row r="402" spans="1:25" ht="15" customHeight="1">
      <c r="A402" s="241">
        <v>316</v>
      </c>
      <c r="B402" s="241"/>
      <c r="C402" s="241"/>
      <c r="D402" s="118">
        <v>16557</v>
      </c>
      <c r="F402" s="242" t="s">
        <v>418</v>
      </c>
      <c r="G402" s="242"/>
      <c r="I402" s="242" t="s">
        <v>374</v>
      </c>
      <c r="J402" s="242"/>
      <c r="K402" s="243">
        <v>44109</v>
      </c>
      <c r="L402" s="243"/>
      <c r="M402" s="244" t="s">
        <v>99</v>
      </c>
      <c r="N402" s="244"/>
      <c r="O402" s="119">
        <v>0</v>
      </c>
      <c r="Q402" s="119">
        <v>0</v>
      </c>
      <c r="S402" s="240">
        <v>1</v>
      </c>
      <c r="T402" s="240"/>
      <c r="W402" s="119">
        <v>0</v>
      </c>
      <c r="Y402" s="119">
        <v>1</v>
      </c>
    </row>
    <row r="403" spans="1:25" ht="15" customHeight="1">
      <c r="A403" s="241">
        <v>317</v>
      </c>
      <c r="B403" s="241"/>
      <c r="C403" s="241"/>
      <c r="D403" s="118">
        <v>16506</v>
      </c>
      <c r="F403" s="242" t="s">
        <v>419</v>
      </c>
      <c r="G403" s="242"/>
      <c r="I403" s="242" t="s">
        <v>374</v>
      </c>
      <c r="J403" s="242"/>
      <c r="K403" s="243">
        <v>44060</v>
      </c>
      <c r="L403" s="243"/>
      <c r="M403" s="244" t="s">
        <v>99</v>
      </c>
      <c r="N403" s="244"/>
      <c r="O403" s="119">
        <v>0</v>
      </c>
      <c r="Q403" s="119">
        <v>0</v>
      </c>
      <c r="S403" s="240">
        <v>1</v>
      </c>
      <c r="T403" s="240"/>
      <c r="W403" s="119">
        <v>0</v>
      </c>
      <c r="Y403" s="119">
        <v>1</v>
      </c>
    </row>
    <row r="404" spans="1:25" ht="15" customHeight="1">
      <c r="A404" s="241">
        <v>318</v>
      </c>
      <c r="B404" s="241"/>
      <c r="C404" s="241"/>
      <c r="D404" s="118">
        <v>16679</v>
      </c>
      <c r="F404" s="242" t="s">
        <v>420</v>
      </c>
      <c r="G404" s="242"/>
      <c r="I404" s="242" t="s">
        <v>374</v>
      </c>
      <c r="J404" s="242"/>
      <c r="K404" s="243">
        <v>44287</v>
      </c>
      <c r="L404" s="243"/>
      <c r="M404" s="244" t="s">
        <v>99</v>
      </c>
      <c r="N404" s="244"/>
      <c r="O404" s="119">
        <v>1</v>
      </c>
      <c r="Q404" s="119">
        <v>0</v>
      </c>
      <c r="S404" s="240">
        <v>0</v>
      </c>
      <c r="T404" s="240"/>
      <c r="W404" s="119">
        <v>0</v>
      </c>
      <c r="Y404" s="119">
        <v>1</v>
      </c>
    </row>
    <row r="405" spans="1:25" ht="15" customHeight="1"/>
    <row r="406" spans="1:25" ht="15" customHeight="1">
      <c r="N406" s="240">
        <v>22</v>
      </c>
      <c r="O406" s="240"/>
      <c r="P406" s="240">
        <v>22</v>
      </c>
      <c r="Q406" s="240"/>
      <c r="R406" s="240">
        <v>10</v>
      </c>
      <c r="S406" s="240"/>
      <c r="T406" s="240"/>
      <c r="V406" s="240">
        <v>0</v>
      </c>
      <c r="W406" s="240"/>
      <c r="X406" s="240">
        <v>54</v>
      </c>
      <c r="Y406" s="240"/>
    </row>
    <row r="407" spans="1:25" ht="15" customHeight="1">
      <c r="F407" s="245" t="s">
        <v>421</v>
      </c>
      <c r="G407" s="245"/>
      <c r="H407" s="245"/>
      <c r="I407" s="245"/>
    </row>
    <row r="408" spans="1:25" ht="15" customHeight="1">
      <c r="A408" s="241">
        <v>319</v>
      </c>
      <c r="B408" s="241"/>
      <c r="C408" s="241"/>
      <c r="D408" s="118">
        <v>16642</v>
      </c>
      <c r="F408" s="242" t="s">
        <v>422</v>
      </c>
      <c r="G408" s="242"/>
      <c r="I408" s="242" t="s">
        <v>421</v>
      </c>
      <c r="J408" s="242"/>
      <c r="K408" s="243">
        <v>44228</v>
      </c>
      <c r="L408" s="243"/>
      <c r="M408" s="244" t="s">
        <v>99</v>
      </c>
      <c r="N408" s="244"/>
      <c r="O408" s="119">
        <v>0</v>
      </c>
      <c r="Q408" s="119">
        <v>1</v>
      </c>
      <c r="S408" s="240">
        <v>0</v>
      </c>
      <c r="T408" s="240"/>
      <c r="W408" s="119">
        <v>0</v>
      </c>
      <c r="Y408" s="119">
        <v>1</v>
      </c>
    </row>
    <row r="409" spans="1:25" ht="15" customHeight="1">
      <c r="A409" s="241">
        <v>320</v>
      </c>
      <c r="B409" s="241"/>
      <c r="C409" s="241"/>
      <c r="D409" s="118">
        <v>16615</v>
      </c>
      <c r="F409" s="242" t="s">
        <v>423</v>
      </c>
      <c r="G409" s="242"/>
      <c r="I409" s="242" t="s">
        <v>421</v>
      </c>
      <c r="J409" s="242"/>
      <c r="K409" s="243">
        <v>44187</v>
      </c>
      <c r="L409" s="243"/>
      <c r="M409" s="244" t="s">
        <v>99</v>
      </c>
      <c r="N409" s="244"/>
      <c r="O409" s="119">
        <v>1</v>
      </c>
      <c r="Q409" s="119">
        <v>0</v>
      </c>
      <c r="S409" s="240">
        <v>0</v>
      </c>
      <c r="T409" s="240"/>
      <c r="W409" s="119">
        <v>0</v>
      </c>
      <c r="Y409" s="119">
        <v>1</v>
      </c>
    </row>
    <row r="410" spans="1:25" ht="15" customHeight="1">
      <c r="A410" s="241">
        <v>321</v>
      </c>
      <c r="B410" s="241"/>
      <c r="C410" s="241"/>
      <c r="D410" s="118">
        <v>6173</v>
      </c>
      <c r="F410" s="242" t="s">
        <v>424</v>
      </c>
      <c r="G410" s="242"/>
      <c r="I410" s="242" t="s">
        <v>421</v>
      </c>
      <c r="J410" s="242"/>
      <c r="K410" s="243">
        <v>44246</v>
      </c>
      <c r="L410" s="243"/>
      <c r="M410" s="244" t="s">
        <v>97</v>
      </c>
      <c r="N410" s="244"/>
      <c r="O410" s="119">
        <v>0</v>
      </c>
      <c r="Q410" s="119">
        <v>1</v>
      </c>
      <c r="S410" s="240">
        <v>0</v>
      </c>
      <c r="T410" s="240"/>
      <c r="W410" s="119">
        <v>0</v>
      </c>
      <c r="Y410" s="119">
        <v>1</v>
      </c>
    </row>
    <row r="411" spans="1:25" ht="15" customHeight="1">
      <c r="A411" s="241">
        <v>322</v>
      </c>
      <c r="B411" s="241"/>
      <c r="C411" s="241"/>
      <c r="D411" s="118">
        <v>16578</v>
      </c>
      <c r="F411" s="242" t="s">
        <v>425</v>
      </c>
      <c r="G411" s="242"/>
      <c r="I411" s="242" t="s">
        <v>421</v>
      </c>
      <c r="J411" s="242"/>
      <c r="K411" s="243">
        <v>44154</v>
      </c>
      <c r="L411" s="243"/>
      <c r="M411" s="244" t="s">
        <v>99</v>
      </c>
      <c r="N411" s="244"/>
      <c r="O411" s="119">
        <v>0</v>
      </c>
      <c r="Q411" s="119">
        <v>1</v>
      </c>
      <c r="S411" s="240">
        <v>0</v>
      </c>
      <c r="T411" s="240"/>
      <c r="W411" s="119">
        <v>0</v>
      </c>
      <c r="Y411" s="119">
        <v>1</v>
      </c>
    </row>
    <row r="412" spans="1:25" ht="15" customHeight="1">
      <c r="A412" s="241">
        <v>323</v>
      </c>
      <c r="B412" s="241"/>
      <c r="C412" s="241"/>
      <c r="D412" s="118">
        <v>5989</v>
      </c>
      <c r="F412" s="242" t="s">
        <v>426</v>
      </c>
      <c r="G412" s="242"/>
      <c r="I412" s="242" t="s">
        <v>421</v>
      </c>
      <c r="J412" s="242"/>
      <c r="K412" s="243">
        <v>44053</v>
      </c>
      <c r="L412" s="243"/>
      <c r="M412" s="244" t="s">
        <v>97</v>
      </c>
      <c r="N412" s="244"/>
      <c r="O412" s="119">
        <v>0</v>
      </c>
      <c r="Q412" s="119">
        <v>1</v>
      </c>
      <c r="S412" s="240">
        <v>0</v>
      </c>
      <c r="T412" s="240"/>
      <c r="W412" s="119">
        <v>0</v>
      </c>
      <c r="Y412" s="119">
        <v>1</v>
      </c>
    </row>
    <row r="413" spans="1:25" ht="15" customHeight="1">
      <c r="A413" s="241">
        <v>324</v>
      </c>
      <c r="B413" s="241"/>
      <c r="C413" s="241"/>
      <c r="D413" s="118">
        <v>16586</v>
      </c>
      <c r="F413" s="242" t="s">
        <v>427</v>
      </c>
      <c r="G413" s="242"/>
      <c r="I413" s="242" t="s">
        <v>421</v>
      </c>
      <c r="J413" s="242"/>
      <c r="K413" s="243">
        <v>44158</v>
      </c>
      <c r="L413" s="243"/>
      <c r="M413" s="244" t="s">
        <v>99</v>
      </c>
      <c r="N413" s="244"/>
      <c r="O413" s="119">
        <v>0</v>
      </c>
      <c r="Q413" s="119">
        <v>0</v>
      </c>
      <c r="S413" s="240">
        <v>1</v>
      </c>
      <c r="T413" s="240"/>
      <c r="W413" s="119">
        <v>0</v>
      </c>
      <c r="Y413" s="119">
        <v>1</v>
      </c>
    </row>
    <row r="414" spans="1:25" ht="15" customHeight="1">
      <c r="A414" s="241">
        <v>325</v>
      </c>
      <c r="B414" s="241"/>
      <c r="C414" s="241"/>
      <c r="D414" s="118">
        <v>16582</v>
      </c>
      <c r="F414" s="242" t="s">
        <v>428</v>
      </c>
      <c r="G414" s="242"/>
      <c r="I414" s="242" t="s">
        <v>421</v>
      </c>
      <c r="J414" s="242"/>
      <c r="K414" s="243">
        <v>44154</v>
      </c>
      <c r="L414" s="243"/>
      <c r="M414" s="244" t="s">
        <v>99</v>
      </c>
      <c r="N414" s="244"/>
      <c r="O414" s="119">
        <v>0</v>
      </c>
      <c r="Q414" s="119">
        <v>1</v>
      </c>
      <c r="S414" s="240">
        <v>0</v>
      </c>
      <c r="T414" s="240"/>
      <c r="W414" s="119">
        <v>0</v>
      </c>
      <c r="Y414" s="119">
        <v>1</v>
      </c>
    </row>
    <row r="415" spans="1:25" ht="15" customHeight="1">
      <c r="A415" s="241">
        <v>326</v>
      </c>
      <c r="B415" s="241"/>
      <c r="C415" s="241"/>
      <c r="D415" s="118">
        <v>16686</v>
      </c>
      <c r="F415" s="242" t="s">
        <v>429</v>
      </c>
      <c r="G415" s="242"/>
      <c r="I415" s="242" t="s">
        <v>421</v>
      </c>
      <c r="J415" s="242"/>
      <c r="K415" s="243">
        <v>44291</v>
      </c>
      <c r="L415" s="243"/>
      <c r="M415" s="244" t="s">
        <v>99</v>
      </c>
      <c r="N415" s="244"/>
      <c r="O415" s="119">
        <v>0</v>
      </c>
      <c r="Q415" s="119">
        <v>0</v>
      </c>
      <c r="S415" s="240">
        <v>1</v>
      </c>
      <c r="T415" s="240"/>
      <c r="W415" s="119">
        <v>0</v>
      </c>
      <c r="Y415" s="119">
        <v>1</v>
      </c>
    </row>
    <row r="416" spans="1:25" ht="15" customHeight="1">
      <c r="A416" s="241">
        <v>327</v>
      </c>
      <c r="B416" s="241"/>
      <c r="C416" s="241"/>
      <c r="D416" s="118">
        <v>16676</v>
      </c>
      <c r="F416" s="242" t="s">
        <v>366</v>
      </c>
      <c r="G416" s="242"/>
      <c r="I416" s="242" t="s">
        <v>421</v>
      </c>
      <c r="J416" s="242"/>
      <c r="K416" s="243">
        <v>44281</v>
      </c>
      <c r="L416" s="243"/>
      <c r="M416" s="244" t="s">
        <v>99</v>
      </c>
      <c r="N416" s="244"/>
      <c r="O416" s="119">
        <v>0</v>
      </c>
      <c r="Q416" s="119">
        <v>0</v>
      </c>
      <c r="S416" s="240">
        <v>1</v>
      </c>
      <c r="T416" s="240"/>
      <c r="W416" s="119">
        <v>0</v>
      </c>
      <c r="Y416" s="119">
        <v>1</v>
      </c>
    </row>
    <row r="417" spans="1:25" ht="15" customHeight="1">
      <c r="A417" s="241">
        <v>328</v>
      </c>
      <c r="B417" s="241"/>
      <c r="C417" s="241"/>
      <c r="D417" s="118">
        <v>6127</v>
      </c>
      <c r="F417" s="242" t="s">
        <v>430</v>
      </c>
      <c r="G417" s="242"/>
      <c r="I417" s="242" t="s">
        <v>421</v>
      </c>
      <c r="J417" s="242"/>
      <c r="K417" s="243">
        <v>44221</v>
      </c>
      <c r="L417" s="243"/>
      <c r="M417" s="244" t="s">
        <v>97</v>
      </c>
      <c r="N417" s="244"/>
      <c r="O417" s="119">
        <v>0</v>
      </c>
      <c r="Q417" s="119">
        <v>0</v>
      </c>
      <c r="S417" s="240">
        <v>1</v>
      </c>
      <c r="T417" s="240"/>
      <c r="W417" s="119">
        <v>0</v>
      </c>
      <c r="Y417" s="119">
        <v>1</v>
      </c>
    </row>
    <row r="418" spans="1:25" ht="15" customHeight="1">
      <c r="A418" s="241">
        <v>329</v>
      </c>
      <c r="B418" s="241"/>
      <c r="C418" s="241"/>
      <c r="D418" s="118">
        <v>16666</v>
      </c>
      <c r="F418" s="242" t="s">
        <v>431</v>
      </c>
      <c r="G418" s="242"/>
      <c r="I418" s="242" t="s">
        <v>421</v>
      </c>
      <c r="J418" s="242"/>
      <c r="K418" s="243">
        <v>44270</v>
      </c>
      <c r="L418" s="243"/>
      <c r="M418" s="244" t="s">
        <v>99</v>
      </c>
      <c r="N418" s="244"/>
      <c r="O418" s="119">
        <v>1</v>
      </c>
      <c r="Q418" s="119">
        <v>0</v>
      </c>
      <c r="S418" s="240">
        <v>0</v>
      </c>
      <c r="T418" s="240"/>
      <c r="W418" s="119">
        <v>0</v>
      </c>
      <c r="Y418" s="119">
        <v>1</v>
      </c>
    </row>
    <row r="419" spans="1:25" ht="15" customHeight="1">
      <c r="A419" s="241">
        <v>330</v>
      </c>
      <c r="B419" s="241"/>
      <c r="C419" s="241"/>
      <c r="D419" s="118">
        <v>16659</v>
      </c>
      <c r="F419" s="242" t="s">
        <v>432</v>
      </c>
      <c r="G419" s="242"/>
      <c r="I419" s="242" t="s">
        <v>421</v>
      </c>
      <c r="J419" s="242"/>
      <c r="K419" s="243">
        <v>44254</v>
      </c>
      <c r="L419" s="243"/>
      <c r="M419" s="244" t="s">
        <v>99</v>
      </c>
      <c r="N419" s="244"/>
      <c r="O419" s="119">
        <v>0</v>
      </c>
      <c r="Q419" s="119">
        <v>0</v>
      </c>
      <c r="S419" s="240">
        <v>1</v>
      </c>
      <c r="T419" s="240"/>
      <c r="W419" s="119">
        <v>0</v>
      </c>
      <c r="Y419" s="119">
        <v>1</v>
      </c>
    </row>
    <row r="420" spans="1:25" ht="15" customHeight="1">
      <c r="A420" s="241">
        <v>331</v>
      </c>
      <c r="B420" s="241"/>
      <c r="C420" s="241"/>
      <c r="D420" s="118">
        <v>6225</v>
      </c>
      <c r="F420" s="242" t="s">
        <v>308</v>
      </c>
      <c r="G420" s="242"/>
      <c r="I420" s="242" t="s">
        <v>421</v>
      </c>
      <c r="J420" s="242"/>
      <c r="K420" s="243">
        <v>44287</v>
      </c>
      <c r="L420" s="243"/>
      <c r="M420" s="244" t="s">
        <v>97</v>
      </c>
      <c r="N420" s="244"/>
      <c r="O420" s="119">
        <v>0</v>
      </c>
      <c r="Q420" s="119">
        <v>1</v>
      </c>
      <c r="S420" s="240">
        <v>0</v>
      </c>
      <c r="T420" s="240"/>
      <c r="W420" s="119">
        <v>0</v>
      </c>
      <c r="Y420" s="119">
        <v>1</v>
      </c>
    </row>
    <row r="421" spans="1:25" ht="15" customHeight="1">
      <c r="A421" s="241">
        <v>332</v>
      </c>
      <c r="B421" s="241"/>
      <c r="C421" s="241"/>
      <c r="D421" s="118">
        <v>16687</v>
      </c>
      <c r="F421" s="242" t="s">
        <v>433</v>
      </c>
      <c r="G421" s="242"/>
      <c r="I421" s="242" t="s">
        <v>421</v>
      </c>
      <c r="J421" s="242"/>
      <c r="K421" s="243">
        <v>44291</v>
      </c>
      <c r="L421" s="243"/>
      <c r="M421" s="244" t="s">
        <v>99</v>
      </c>
      <c r="N421" s="244"/>
      <c r="O421" s="119">
        <v>1</v>
      </c>
      <c r="Q421" s="119">
        <v>0</v>
      </c>
      <c r="S421" s="240">
        <v>0</v>
      </c>
      <c r="T421" s="240"/>
      <c r="W421" s="119">
        <v>0</v>
      </c>
      <c r="Y421" s="119">
        <v>1</v>
      </c>
    </row>
    <row r="422" spans="1:25" ht="15" customHeight="1">
      <c r="A422" s="241">
        <v>333</v>
      </c>
      <c r="B422" s="241"/>
      <c r="C422" s="241"/>
      <c r="D422" s="118">
        <v>16612</v>
      </c>
      <c r="F422" s="242" t="s">
        <v>434</v>
      </c>
      <c r="G422" s="242"/>
      <c r="I422" s="242" t="s">
        <v>421</v>
      </c>
      <c r="J422" s="242"/>
      <c r="K422" s="243">
        <v>44184</v>
      </c>
      <c r="L422" s="243"/>
      <c r="M422" s="244" t="s">
        <v>99</v>
      </c>
      <c r="N422" s="244"/>
      <c r="O422" s="119">
        <v>0</v>
      </c>
      <c r="Q422" s="119">
        <v>1</v>
      </c>
      <c r="S422" s="240">
        <v>0</v>
      </c>
      <c r="T422" s="240"/>
      <c r="W422" s="119">
        <v>0</v>
      </c>
      <c r="Y422" s="119">
        <v>1</v>
      </c>
    </row>
    <row r="423" spans="1:25" ht="15" customHeight="1">
      <c r="A423" s="241">
        <v>334</v>
      </c>
      <c r="B423" s="241"/>
      <c r="C423" s="241"/>
      <c r="D423" s="118">
        <v>3338</v>
      </c>
      <c r="F423" s="242" t="s">
        <v>435</v>
      </c>
      <c r="G423" s="242"/>
      <c r="I423" s="242" t="s">
        <v>421</v>
      </c>
      <c r="J423" s="242"/>
      <c r="K423" s="243">
        <v>44014</v>
      </c>
      <c r="L423" s="243"/>
      <c r="M423" s="244" t="s">
        <v>97</v>
      </c>
      <c r="N423" s="244"/>
      <c r="O423" s="119">
        <v>0</v>
      </c>
      <c r="Q423" s="119">
        <v>0</v>
      </c>
      <c r="S423" s="240">
        <v>1</v>
      </c>
      <c r="T423" s="240"/>
      <c r="W423" s="119">
        <v>0</v>
      </c>
      <c r="Y423" s="119">
        <v>1</v>
      </c>
    </row>
    <row r="424" spans="1:25" ht="15" customHeight="1">
      <c r="A424" s="241">
        <v>335</v>
      </c>
      <c r="B424" s="241"/>
      <c r="C424" s="241"/>
      <c r="D424" s="118">
        <v>16563</v>
      </c>
      <c r="F424" s="242" t="s">
        <v>436</v>
      </c>
      <c r="G424" s="242"/>
      <c r="I424" s="242" t="s">
        <v>421</v>
      </c>
      <c r="J424" s="242"/>
      <c r="K424" s="243">
        <v>44120</v>
      </c>
      <c r="L424" s="243"/>
      <c r="M424" s="244" t="s">
        <v>99</v>
      </c>
      <c r="N424" s="244"/>
      <c r="O424" s="119">
        <v>0</v>
      </c>
      <c r="Q424" s="119">
        <v>0</v>
      </c>
      <c r="S424" s="240">
        <v>1</v>
      </c>
      <c r="T424" s="240"/>
      <c r="W424" s="119">
        <v>0</v>
      </c>
      <c r="Y424" s="119">
        <v>1</v>
      </c>
    </row>
    <row r="425" spans="1:25" ht="15" customHeight="1">
      <c r="A425" s="241">
        <v>336</v>
      </c>
      <c r="B425" s="241"/>
      <c r="C425" s="241"/>
      <c r="D425" s="118">
        <v>6125</v>
      </c>
      <c r="F425" s="242" t="s">
        <v>437</v>
      </c>
      <c r="G425" s="242"/>
      <c r="I425" s="242" t="s">
        <v>421</v>
      </c>
      <c r="J425" s="242"/>
      <c r="K425" s="243">
        <v>44221</v>
      </c>
      <c r="L425" s="243"/>
      <c r="M425" s="244" t="s">
        <v>97</v>
      </c>
      <c r="N425" s="244"/>
      <c r="O425" s="119">
        <v>0</v>
      </c>
      <c r="Q425" s="119">
        <v>1</v>
      </c>
      <c r="S425" s="240">
        <v>0</v>
      </c>
      <c r="T425" s="240"/>
      <c r="W425" s="119">
        <v>0</v>
      </c>
      <c r="Y425" s="119">
        <v>1</v>
      </c>
    </row>
    <row r="426" spans="1:25" ht="15" customHeight="1">
      <c r="A426" s="241">
        <v>337</v>
      </c>
      <c r="B426" s="241"/>
      <c r="C426" s="241"/>
      <c r="D426" s="118">
        <v>16670</v>
      </c>
      <c r="F426" s="242" t="s">
        <v>438</v>
      </c>
      <c r="G426" s="242"/>
      <c r="I426" s="242" t="s">
        <v>421</v>
      </c>
      <c r="J426" s="242"/>
      <c r="K426" s="243">
        <v>44275</v>
      </c>
      <c r="L426" s="243"/>
      <c r="M426" s="244" t="s">
        <v>99</v>
      </c>
      <c r="N426" s="244"/>
      <c r="O426" s="119">
        <v>0</v>
      </c>
      <c r="Q426" s="119">
        <v>0</v>
      </c>
      <c r="S426" s="240">
        <v>1</v>
      </c>
      <c r="T426" s="240"/>
      <c r="W426" s="119">
        <v>0</v>
      </c>
      <c r="Y426" s="119">
        <v>1</v>
      </c>
    </row>
    <row r="427" spans="1:25" ht="15" customHeight="1">
      <c r="A427" s="241">
        <v>338</v>
      </c>
      <c r="B427" s="241"/>
      <c r="C427" s="241"/>
      <c r="D427" s="118">
        <v>16661</v>
      </c>
      <c r="F427" s="242" t="s">
        <v>439</v>
      </c>
      <c r="G427" s="242"/>
      <c r="I427" s="242" t="s">
        <v>421</v>
      </c>
      <c r="J427" s="242"/>
      <c r="K427" s="243">
        <v>44256</v>
      </c>
      <c r="L427" s="243"/>
      <c r="M427" s="244" t="s">
        <v>99</v>
      </c>
      <c r="N427" s="244"/>
      <c r="O427" s="119">
        <v>1</v>
      </c>
      <c r="Q427" s="119">
        <v>0</v>
      </c>
      <c r="S427" s="240">
        <v>0</v>
      </c>
      <c r="T427" s="240"/>
      <c r="W427" s="119">
        <v>0</v>
      </c>
      <c r="Y427" s="119">
        <v>1</v>
      </c>
    </row>
    <row r="428" spans="1:25" ht="15" customHeight="1">
      <c r="A428" s="241">
        <v>339</v>
      </c>
      <c r="B428" s="241"/>
      <c r="C428" s="241"/>
      <c r="D428" s="118">
        <v>16587</v>
      </c>
      <c r="F428" s="242" t="s">
        <v>440</v>
      </c>
      <c r="G428" s="242"/>
      <c r="I428" s="242" t="s">
        <v>421</v>
      </c>
      <c r="J428" s="242"/>
      <c r="K428" s="243">
        <v>44158</v>
      </c>
      <c r="L428" s="243"/>
      <c r="M428" s="244" t="s">
        <v>99</v>
      </c>
      <c r="N428" s="244"/>
      <c r="O428" s="119">
        <v>0</v>
      </c>
      <c r="Q428" s="119">
        <v>0</v>
      </c>
      <c r="S428" s="240">
        <v>1</v>
      </c>
      <c r="T428" s="240"/>
      <c r="W428" s="119">
        <v>0</v>
      </c>
      <c r="Y428" s="119">
        <v>1</v>
      </c>
    </row>
    <row r="429" spans="1:25" ht="15" customHeight="1"/>
    <row r="430" spans="1:25" ht="15" customHeight="1">
      <c r="N430" s="240">
        <v>4</v>
      </c>
      <c r="O430" s="240"/>
      <c r="P430" s="240">
        <v>8</v>
      </c>
      <c r="Q430" s="240"/>
      <c r="R430" s="240">
        <v>9</v>
      </c>
      <c r="S430" s="240"/>
      <c r="T430" s="240"/>
      <c r="V430" s="240">
        <v>0</v>
      </c>
      <c r="W430" s="240"/>
      <c r="X430" s="240">
        <v>21</v>
      </c>
      <c r="Y430" s="240"/>
    </row>
    <row r="431" spans="1:25" ht="15" customHeight="1">
      <c r="F431" s="245" t="s">
        <v>441</v>
      </c>
      <c r="G431" s="245"/>
      <c r="H431" s="245"/>
      <c r="I431" s="245"/>
    </row>
    <row r="432" spans="1:25" ht="15" customHeight="1">
      <c r="A432" s="241">
        <v>340</v>
      </c>
      <c r="B432" s="241"/>
      <c r="C432" s="241"/>
      <c r="D432" s="118">
        <v>6107</v>
      </c>
      <c r="F432" s="242" t="s">
        <v>442</v>
      </c>
      <c r="G432" s="242"/>
      <c r="I432" s="242" t="s">
        <v>441</v>
      </c>
      <c r="J432" s="242"/>
      <c r="K432" s="243">
        <v>44201</v>
      </c>
      <c r="L432" s="243"/>
      <c r="M432" s="244" t="s">
        <v>97</v>
      </c>
      <c r="N432" s="244"/>
      <c r="O432" s="119">
        <v>1</v>
      </c>
      <c r="Q432" s="119">
        <v>0</v>
      </c>
      <c r="S432" s="240">
        <v>0</v>
      </c>
      <c r="T432" s="240"/>
      <c r="W432" s="119">
        <v>0</v>
      </c>
      <c r="Y432" s="119">
        <v>1</v>
      </c>
    </row>
    <row r="433" spans="1:25" ht="15" customHeight="1">
      <c r="A433" s="241">
        <v>341</v>
      </c>
      <c r="B433" s="241"/>
      <c r="C433" s="241"/>
      <c r="D433" s="118">
        <v>6159</v>
      </c>
      <c r="F433" s="242" t="s">
        <v>443</v>
      </c>
      <c r="G433" s="242"/>
      <c r="I433" s="242" t="s">
        <v>441</v>
      </c>
      <c r="J433" s="242"/>
      <c r="K433" s="243">
        <v>44242</v>
      </c>
      <c r="L433" s="243"/>
      <c r="M433" s="244" t="s">
        <v>97</v>
      </c>
      <c r="N433" s="244"/>
      <c r="O433" s="119">
        <v>1</v>
      </c>
      <c r="Q433" s="119">
        <v>0</v>
      </c>
      <c r="S433" s="240">
        <v>0</v>
      </c>
      <c r="T433" s="240"/>
      <c r="W433" s="119">
        <v>0</v>
      </c>
      <c r="Y433" s="119">
        <v>1</v>
      </c>
    </row>
    <row r="434" spans="1:25" ht="15" customHeight="1">
      <c r="A434" s="241">
        <v>342</v>
      </c>
      <c r="B434" s="241"/>
      <c r="C434" s="241"/>
      <c r="D434" s="118">
        <v>16441</v>
      </c>
      <c r="F434" s="242" t="s">
        <v>444</v>
      </c>
      <c r="G434" s="242"/>
      <c r="I434" s="242" t="s">
        <v>441</v>
      </c>
      <c r="J434" s="242"/>
      <c r="K434" s="243">
        <v>43966</v>
      </c>
      <c r="L434" s="243"/>
      <c r="M434" s="244" t="s">
        <v>99</v>
      </c>
      <c r="N434" s="244"/>
      <c r="O434" s="119">
        <v>1</v>
      </c>
      <c r="Q434" s="119">
        <v>0</v>
      </c>
      <c r="S434" s="240">
        <v>0</v>
      </c>
      <c r="T434" s="240"/>
      <c r="W434" s="119">
        <v>0</v>
      </c>
      <c r="Y434" s="119">
        <v>1</v>
      </c>
    </row>
    <row r="435" spans="1:25" ht="15" customHeight="1">
      <c r="A435" s="241">
        <v>343</v>
      </c>
      <c r="B435" s="241"/>
      <c r="C435" s="241"/>
      <c r="D435" s="118">
        <v>16443</v>
      </c>
      <c r="F435" s="242" t="s">
        <v>342</v>
      </c>
      <c r="G435" s="242"/>
      <c r="I435" s="242" t="s">
        <v>441</v>
      </c>
      <c r="J435" s="242"/>
      <c r="K435" s="243">
        <v>43970</v>
      </c>
      <c r="L435" s="243"/>
      <c r="M435" s="244" t="s">
        <v>99</v>
      </c>
      <c r="N435" s="244"/>
      <c r="O435" s="119">
        <v>1</v>
      </c>
      <c r="Q435" s="119">
        <v>0</v>
      </c>
      <c r="S435" s="240">
        <v>0</v>
      </c>
      <c r="T435" s="240"/>
      <c r="W435" s="119">
        <v>0</v>
      </c>
      <c r="Y435" s="119">
        <v>1</v>
      </c>
    </row>
    <row r="436" spans="1:25" ht="15" customHeight="1">
      <c r="A436" s="241">
        <v>344</v>
      </c>
      <c r="B436" s="241"/>
      <c r="C436" s="241"/>
      <c r="D436" s="118">
        <v>10169</v>
      </c>
      <c r="F436" s="242" t="s">
        <v>402</v>
      </c>
      <c r="G436" s="242"/>
      <c r="I436" s="242" t="s">
        <v>441</v>
      </c>
      <c r="J436" s="242"/>
      <c r="K436" s="243">
        <v>43995</v>
      </c>
      <c r="L436" s="243"/>
      <c r="M436" s="244" t="s">
        <v>99</v>
      </c>
      <c r="N436" s="244"/>
      <c r="O436" s="119">
        <v>1</v>
      </c>
      <c r="Q436" s="119">
        <v>0</v>
      </c>
      <c r="S436" s="240">
        <v>0</v>
      </c>
      <c r="T436" s="240"/>
      <c r="W436" s="119">
        <v>0</v>
      </c>
      <c r="Y436" s="119">
        <v>1</v>
      </c>
    </row>
    <row r="437" spans="1:25" ht="15" customHeight="1">
      <c r="A437" s="241">
        <v>345</v>
      </c>
      <c r="B437" s="241"/>
      <c r="C437" s="241"/>
      <c r="D437" s="118">
        <v>3309</v>
      </c>
      <c r="F437" s="242" t="s">
        <v>445</v>
      </c>
      <c r="G437" s="242"/>
      <c r="I437" s="242" t="s">
        <v>441</v>
      </c>
      <c r="J437" s="242"/>
      <c r="K437" s="243">
        <v>43336</v>
      </c>
      <c r="L437" s="243"/>
      <c r="M437" s="244" t="s">
        <v>97</v>
      </c>
      <c r="N437" s="244"/>
      <c r="O437" s="119">
        <v>1</v>
      </c>
      <c r="Q437" s="119">
        <v>0</v>
      </c>
      <c r="S437" s="240">
        <v>0</v>
      </c>
      <c r="T437" s="240"/>
      <c r="W437" s="119">
        <v>0</v>
      </c>
      <c r="Y437" s="119">
        <v>1</v>
      </c>
    </row>
    <row r="438" spans="1:25" ht="15" customHeight="1">
      <c r="A438" s="241">
        <v>346</v>
      </c>
      <c r="B438" s="241"/>
      <c r="C438" s="241"/>
      <c r="D438" s="118">
        <v>5832</v>
      </c>
      <c r="F438" s="242" t="s">
        <v>446</v>
      </c>
      <c r="G438" s="242"/>
      <c r="I438" s="242" t="s">
        <v>441</v>
      </c>
      <c r="J438" s="242"/>
      <c r="K438" s="243">
        <v>43862</v>
      </c>
      <c r="L438" s="243"/>
      <c r="M438" s="244" t="s">
        <v>97</v>
      </c>
      <c r="N438" s="244"/>
      <c r="O438" s="119">
        <v>1</v>
      </c>
      <c r="Q438" s="119">
        <v>0</v>
      </c>
      <c r="S438" s="240">
        <v>0</v>
      </c>
      <c r="T438" s="240"/>
      <c r="W438" s="119">
        <v>0</v>
      </c>
      <c r="Y438" s="119">
        <v>1</v>
      </c>
    </row>
    <row r="439" spans="1:25" ht="15" customHeight="1">
      <c r="A439" s="241">
        <v>347</v>
      </c>
      <c r="B439" s="241"/>
      <c r="C439" s="241"/>
      <c r="D439" s="118">
        <v>16444</v>
      </c>
      <c r="F439" s="242" t="s">
        <v>447</v>
      </c>
      <c r="G439" s="242"/>
      <c r="I439" s="242" t="s">
        <v>441</v>
      </c>
      <c r="J439" s="242"/>
      <c r="K439" s="243">
        <v>43972</v>
      </c>
      <c r="L439" s="243"/>
      <c r="M439" s="244" t="s">
        <v>99</v>
      </c>
      <c r="N439" s="244"/>
      <c r="O439" s="119">
        <v>1</v>
      </c>
      <c r="Q439" s="119">
        <v>0</v>
      </c>
      <c r="S439" s="240">
        <v>0</v>
      </c>
      <c r="T439" s="240"/>
      <c r="W439" s="119">
        <v>0</v>
      </c>
      <c r="Y439" s="119">
        <v>1</v>
      </c>
    </row>
    <row r="440" spans="1:25" ht="15" customHeight="1">
      <c r="A440" s="241">
        <v>348</v>
      </c>
      <c r="B440" s="241"/>
      <c r="C440" s="241"/>
      <c r="D440" s="118">
        <v>6064</v>
      </c>
      <c r="F440" s="242" t="s">
        <v>448</v>
      </c>
      <c r="G440" s="242"/>
      <c r="I440" s="242" t="s">
        <v>441</v>
      </c>
      <c r="J440" s="242"/>
      <c r="K440" s="243">
        <v>44167</v>
      </c>
      <c r="L440" s="243"/>
      <c r="M440" s="244" t="s">
        <v>97</v>
      </c>
      <c r="N440" s="244"/>
      <c r="O440" s="119">
        <v>1</v>
      </c>
      <c r="Q440" s="119">
        <v>0</v>
      </c>
      <c r="S440" s="240">
        <v>0</v>
      </c>
      <c r="T440" s="240"/>
      <c r="W440" s="119">
        <v>0</v>
      </c>
      <c r="Y440" s="119">
        <v>1</v>
      </c>
    </row>
    <row r="441" spans="1:25" ht="15" customHeight="1"/>
    <row r="442" spans="1:25" ht="15" customHeight="1">
      <c r="N442" s="240">
        <v>9</v>
      </c>
      <c r="O442" s="240"/>
      <c r="P442" s="240">
        <v>0</v>
      </c>
      <c r="Q442" s="240"/>
      <c r="R442" s="240">
        <v>0</v>
      </c>
      <c r="S442" s="240"/>
      <c r="T442" s="240"/>
      <c r="V442" s="240">
        <v>0</v>
      </c>
      <c r="W442" s="240"/>
      <c r="X442" s="240">
        <v>9</v>
      </c>
      <c r="Y442" s="240"/>
    </row>
    <row r="443" spans="1:25" ht="15" customHeight="1">
      <c r="F443" s="245" t="s">
        <v>449</v>
      </c>
      <c r="G443" s="245"/>
      <c r="H443" s="245"/>
      <c r="I443" s="245"/>
    </row>
    <row r="444" spans="1:25" ht="15" customHeight="1">
      <c r="A444" s="241">
        <v>349</v>
      </c>
      <c r="B444" s="241"/>
      <c r="C444" s="241"/>
      <c r="D444" s="118">
        <v>16683</v>
      </c>
      <c r="F444" s="242" t="s">
        <v>450</v>
      </c>
      <c r="G444" s="242"/>
      <c r="I444" s="242" t="s">
        <v>449</v>
      </c>
      <c r="J444" s="242"/>
      <c r="K444" s="243">
        <v>44288</v>
      </c>
      <c r="L444" s="243"/>
      <c r="M444" s="244" t="s">
        <v>99</v>
      </c>
      <c r="N444" s="244"/>
      <c r="O444" s="119">
        <v>1</v>
      </c>
      <c r="Q444" s="119">
        <v>0</v>
      </c>
      <c r="S444" s="240">
        <v>0</v>
      </c>
      <c r="T444" s="240"/>
      <c r="W444" s="119">
        <v>0</v>
      </c>
      <c r="Y444" s="119">
        <v>1</v>
      </c>
    </row>
    <row r="445" spans="1:25" ht="15" customHeight="1">
      <c r="A445" s="241">
        <v>350</v>
      </c>
      <c r="B445" s="241"/>
      <c r="C445" s="241"/>
      <c r="D445" s="118">
        <v>16624</v>
      </c>
      <c r="F445" s="242" t="s">
        <v>451</v>
      </c>
      <c r="G445" s="242"/>
      <c r="I445" s="242" t="s">
        <v>449</v>
      </c>
      <c r="J445" s="242"/>
      <c r="K445" s="243">
        <v>44213</v>
      </c>
      <c r="L445" s="243"/>
      <c r="M445" s="244" t="s">
        <v>99</v>
      </c>
      <c r="N445" s="244"/>
      <c r="O445" s="119">
        <v>1</v>
      </c>
      <c r="Q445" s="119">
        <v>0</v>
      </c>
      <c r="S445" s="240">
        <v>0</v>
      </c>
      <c r="T445" s="240"/>
      <c r="W445" s="119">
        <v>0</v>
      </c>
      <c r="Y445" s="119">
        <v>1</v>
      </c>
    </row>
    <row r="446" spans="1:25" ht="15" customHeight="1"/>
    <row r="447" spans="1:25" ht="15" customHeight="1">
      <c r="N447" s="240">
        <v>2</v>
      </c>
      <c r="O447" s="240"/>
      <c r="P447" s="240">
        <v>0</v>
      </c>
      <c r="Q447" s="240"/>
      <c r="R447" s="240">
        <v>0</v>
      </c>
      <c r="S447" s="240"/>
      <c r="T447" s="240"/>
      <c r="V447" s="240">
        <v>0</v>
      </c>
      <c r="W447" s="240"/>
      <c r="X447" s="240">
        <v>2</v>
      </c>
      <c r="Y447" s="240"/>
    </row>
    <row r="448" spans="1:25" ht="15" customHeight="1">
      <c r="F448" s="245" t="s">
        <v>452</v>
      </c>
      <c r="G448" s="245"/>
      <c r="H448" s="245"/>
      <c r="I448" s="245"/>
    </row>
    <row r="449" spans="1:25" ht="15" customHeight="1">
      <c r="A449" s="241">
        <v>351</v>
      </c>
      <c r="B449" s="241"/>
      <c r="C449" s="241"/>
      <c r="D449" s="118">
        <v>16681</v>
      </c>
      <c r="F449" s="242" t="s">
        <v>453</v>
      </c>
      <c r="G449" s="242"/>
      <c r="I449" s="242" t="s">
        <v>452</v>
      </c>
      <c r="J449" s="242"/>
      <c r="K449" s="243">
        <v>44287</v>
      </c>
      <c r="L449" s="243"/>
      <c r="M449" s="244" t="s">
        <v>99</v>
      </c>
      <c r="N449" s="244"/>
      <c r="O449" s="119">
        <v>1</v>
      </c>
      <c r="Q449" s="119">
        <v>0</v>
      </c>
      <c r="S449" s="240">
        <v>0</v>
      </c>
      <c r="T449" s="240"/>
      <c r="W449" s="119">
        <v>0</v>
      </c>
      <c r="Y449" s="119">
        <v>1</v>
      </c>
    </row>
    <row r="450" spans="1:25" ht="15" customHeight="1">
      <c r="A450" s="241">
        <v>352</v>
      </c>
      <c r="B450" s="241"/>
      <c r="C450" s="241"/>
      <c r="D450" s="118">
        <v>16648</v>
      </c>
      <c r="F450" s="242" t="s">
        <v>454</v>
      </c>
      <c r="G450" s="242"/>
      <c r="I450" s="242" t="s">
        <v>452</v>
      </c>
      <c r="J450" s="242"/>
      <c r="K450" s="243">
        <v>44236</v>
      </c>
      <c r="L450" s="243"/>
      <c r="M450" s="244" t="s">
        <v>99</v>
      </c>
      <c r="N450" s="244"/>
      <c r="O450" s="119">
        <v>1</v>
      </c>
      <c r="Q450" s="119">
        <v>0</v>
      </c>
      <c r="S450" s="240">
        <v>0</v>
      </c>
      <c r="T450" s="240"/>
      <c r="W450" s="119">
        <v>0</v>
      </c>
      <c r="Y450" s="119">
        <v>1</v>
      </c>
    </row>
    <row r="451" spans="1:25" ht="15" customHeight="1">
      <c r="A451" s="241">
        <v>353</v>
      </c>
      <c r="B451" s="241"/>
      <c r="C451" s="241"/>
      <c r="D451" s="118">
        <v>16688</v>
      </c>
      <c r="F451" s="242" t="s">
        <v>455</v>
      </c>
      <c r="G451" s="242"/>
      <c r="I451" s="242" t="s">
        <v>452</v>
      </c>
      <c r="J451" s="242"/>
      <c r="K451" s="243">
        <v>44291</v>
      </c>
      <c r="L451" s="243"/>
      <c r="M451" s="244" t="s">
        <v>99</v>
      </c>
      <c r="N451" s="244"/>
      <c r="O451" s="119">
        <v>0</v>
      </c>
      <c r="Q451" s="119">
        <v>1</v>
      </c>
      <c r="S451" s="240">
        <v>0</v>
      </c>
      <c r="T451" s="240"/>
      <c r="W451" s="119">
        <v>0</v>
      </c>
      <c r="Y451" s="119">
        <v>1</v>
      </c>
    </row>
    <row r="452" spans="1:25" ht="15" customHeight="1"/>
    <row r="453" spans="1:25" ht="15" customHeight="1">
      <c r="N453" s="240">
        <v>2</v>
      </c>
      <c r="O453" s="240"/>
      <c r="P453" s="240">
        <v>1</v>
      </c>
      <c r="Q453" s="240"/>
      <c r="R453" s="240">
        <v>0</v>
      </c>
      <c r="S453" s="240"/>
      <c r="T453" s="240"/>
      <c r="V453" s="240">
        <v>0</v>
      </c>
      <c r="W453" s="240"/>
      <c r="X453" s="240">
        <v>3</v>
      </c>
      <c r="Y453" s="240"/>
    </row>
    <row r="454" spans="1:25" ht="15" customHeight="1">
      <c r="F454" s="245" t="s">
        <v>456</v>
      </c>
      <c r="G454" s="245"/>
      <c r="H454" s="245"/>
      <c r="I454" s="245"/>
    </row>
    <row r="455" spans="1:25" ht="15" customHeight="1">
      <c r="A455" s="241">
        <v>354</v>
      </c>
      <c r="B455" s="241"/>
      <c r="C455" s="241"/>
      <c r="D455" s="118">
        <v>16663</v>
      </c>
      <c r="F455" s="242" t="s">
        <v>457</v>
      </c>
      <c r="G455" s="242"/>
      <c r="I455" s="242" t="s">
        <v>456</v>
      </c>
      <c r="J455" s="242"/>
      <c r="K455" s="243">
        <v>44259</v>
      </c>
      <c r="L455" s="243"/>
      <c r="M455" s="244" t="s">
        <v>99</v>
      </c>
      <c r="N455" s="244"/>
      <c r="O455" s="119">
        <v>1</v>
      </c>
      <c r="Q455" s="119">
        <v>0</v>
      </c>
      <c r="S455" s="240">
        <v>0</v>
      </c>
      <c r="T455" s="240"/>
      <c r="W455" s="119">
        <v>0</v>
      </c>
      <c r="Y455" s="119">
        <v>1</v>
      </c>
    </row>
    <row r="456" spans="1:25" ht="15" customHeight="1">
      <c r="A456" s="241">
        <v>355</v>
      </c>
      <c r="B456" s="241"/>
      <c r="C456" s="241"/>
      <c r="D456" s="118">
        <v>16623</v>
      </c>
      <c r="F456" s="242" t="s">
        <v>416</v>
      </c>
      <c r="G456" s="242"/>
      <c r="I456" s="242" t="s">
        <v>456</v>
      </c>
      <c r="J456" s="242"/>
      <c r="K456" s="243">
        <v>44200</v>
      </c>
      <c r="L456" s="243"/>
      <c r="M456" s="244" t="s">
        <v>99</v>
      </c>
      <c r="N456" s="244"/>
      <c r="O456" s="119">
        <v>0</v>
      </c>
      <c r="Q456" s="119">
        <v>0</v>
      </c>
      <c r="S456" s="240">
        <v>1</v>
      </c>
      <c r="T456" s="240"/>
      <c r="W456" s="119">
        <v>0</v>
      </c>
      <c r="Y456" s="119">
        <v>1</v>
      </c>
    </row>
    <row r="457" spans="1:25" ht="15" customHeight="1"/>
    <row r="458" spans="1:25" ht="15" customHeight="1">
      <c r="N458" s="240">
        <v>1</v>
      </c>
      <c r="O458" s="240"/>
      <c r="P458" s="240">
        <v>0</v>
      </c>
      <c r="Q458" s="240"/>
      <c r="R458" s="240">
        <v>1</v>
      </c>
      <c r="S458" s="240"/>
      <c r="T458" s="240"/>
      <c r="V458" s="240">
        <v>0</v>
      </c>
      <c r="W458" s="240"/>
      <c r="X458" s="240">
        <v>2</v>
      </c>
      <c r="Y458" s="240"/>
    </row>
    <row r="459" spans="1:25" ht="15" customHeight="1">
      <c r="F459" s="245" t="s">
        <v>458</v>
      </c>
      <c r="G459" s="245"/>
      <c r="H459" s="245"/>
      <c r="I459" s="245"/>
    </row>
    <row r="460" spans="1:25" ht="15" customHeight="1">
      <c r="A460" s="241">
        <v>356</v>
      </c>
      <c r="B460" s="241"/>
      <c r="C460" s="241"/>
      <c r="D460" s="118">
        <v>16677</v>
      </c>
      <c r="F460" s="242" t="s">
        <v>459</v>
      </c>
      <c r="G460" s="242"/>
      <c r="I460" s="242" t="s">
        <v>458</v>
      </c>
      <c r="J460" s="242"/>
      <c r="K460" s="243">
        <v>44285</v>
      </c>
      <c r="L460" s="243"/>
      <c r="M460" s="244" t="s">
        <v>99</v>
      </c>
      <c r="N460" s="244"/>
      <c r="O460" s="119">
        <v>1</v>
      </c>
      <c r="Q460" s="119">
        <v>0</v>
      </c>
      <c r="S460" s="240">
        <v>0</v>
      </c>
      <c r="T460" s="240"/>
      <c r="W460" s="119">
        <v>0</v>
      </c>
      <c r="Y460" s="119">
        <v>1</v>
      </c>
    </row>
    <row r="461" spans="1:25" ht="15" customHeight="1">
      <c r="A461" s="241">
        <v>357</v>
      </c>
      <c r="B461" s="241"/>
      <c r="C461" s="241"/>
      <c r="D461" s="118">
        <v>16678</v>
      </c>
      <c r="F461" s="242" t="s">
        <v>460</v>
      </c>
      <c r="G461" s="242"/>
      <c r="I461" s="242" t="s">
        <v>458</v>
      </c>
      <c r="J461" s="242"/>
      <c r="K461" s="243">
        <v>44287</v>
      </c>
      <c r="L461" s="243"/>
      <c r="M461" s="244" t="s">
        <v>99</v>
      </c>
      <c r="N461" s="244"/>
      <c r="O461" s="119">
        <v>1</v>
      </c>
      <c r="Q461" s="119">
        <v>0</v>
      </c>
      <c r="S461" s="240">
        <v>0</v>
      </c>
      <c r="T461" s="240"/>
      <c r="W461" s="119">
        <v>0</v>
      </c>
      <c r="Y461" s="119">
        <v>1</v>
      </c>
    </row>
    <row r="462" spans="1:25" ht="15" customHeight="1">
      <c r="A462" s="241">
        <v>358</v>
      </c>
      <c r="B462" s="241"/>
      <c r="C462" s="241"/>
      <c r="D462" s="118">
        <v>16673</v>
      </c>
      <c r="F462" s="242" t="s">
        <v>461</v>
      </c>
      <c r="G462" s="242"/>
      <c r="I462" s="242" t="s">
        <v>458</v>
      </c>
      <c r="J462" s="242"/>
      <c r="K462" s="243">
        <v>44279</v>
      </c>
      <c r="L462" s="243"/>
      <c r="M462" s="244" t="s">
        <v>99</v>
      </c>
      <c r="N462" s="244"/>
      <c r="O462" s="119">
        <v>1</v>
      </c>
      <c r="Q462" s="119">
        <v>0</v>
      </c>
      <c r="S462" s="240">
        <v>0</v>
      </c>
      <c r="T462" s="240"/>
      <c r="W462" s="119">
        <v>0</v>
      </c>
      <c r="Y462" s="119">
        <v>1</v>
      </c>
    </row>
    <row r="463" spans="1:25" ht="15" customHeight="1">
      <c r="A463" s="241">
        <v>359</v>
      </c>
      <c r="B463" s="241"/>
      <c r="C463" s="241"/>
      <c r="D463" s="118">
        <v>16674</v>
      </c>
      <c r="F463" s="242" t="s">
        <v>462</v>
      </c>
      <c r="G463" s="242"/>
      <c r="I463" s="242" t="s">
        <v>458</v>
      </c>
      <c r="J463" s="242"/>
      <c r="K463" s="243">
        <v>44279</v>
      </c>
      <c r="L463" s="243"/>
      <c r="M463" s="244" t="s">
        <v>99</v>
      </c>
      <c r="N463" s="244"/>
      <c r="O463" s="119">
        <v>1</v>
      </c>
      <c r="Q463" s="119">
        <v>0</v>
      </c>
      <c r="S463" s="240">
        <v>0</v>
      </c>
      <c r="T463" s="240"/>
      <c r="W463" s="119">
        <v>0</v>
      </c>
      <c r="Y463" s="119">
        <v>1</v>
      </c>
    </row>
    <row r="464" spans="1:25" ht="15" customHeight="1">
      <c r="A464" s="241">
        <v>360</v>
      </c>
      <c r="B464" s="241"/>
      <c r="C464" s="241"/>
      <c r="D464" s="118">
        <v>16635</v>
      </c>
      <c r="F464" s="242" t="s">
        <v>463</v>
      </c>
      <c r="G464" s="242"/>
      <c r="I464" s="242" t="s">
        <v>458</v>
      </c>
      <c r="J464" s="242"/>
      <c r="K464" s="243">
        <v>44223</v>
      </c>
      <c r="L464" s="243"/>
      <c r="M464" s="244" t="s">
        <v>99</v>
      </c>
      <c r="N464" s="244"/>
      <c r="O464" s="119">
        <v>0</v>
      </c>
      <c r="Q464" s="119">
        <v>1</v>
      </c>
      <c r="S464" s="240">
        <v>0</v>
      </c>
      <c r="T464" s="240"/>
      <c r="W464" s="119">
        <v>0</v>
      </c>
      <c r="Y464" s="119">
        <v>1</v>
      </c>
    </row>
    <row r="465" spans="1:25" ht="15" customHeight="1">
      <c r="A465" s="241">
        <v>361</v>
      </c>
      <c r="B465" s="241"/>
      <c r="C465" s="241"/>
      <c r="D465" s="118">
        <v>16577</v>
      </c>
      <c r="F465" s="242" t="s">
        <v>464</v>
      </c>
      <c r="G465" s="242"/>
      <c r="I465" s="242" t="s">
        <v>458</v>
      </c>
      <c r="J465" s="242"/>
      <c r="K465" s="243">
        <v>44154</v>
      </c>
      <c r="L465" s="243"/>
      <c r="M465" s="244" t="s">
        <v>99</v>
      </c>
      <c r="N465" s="244"/>
      <c r="O465" s="119">
        <v>0</v>
      </c>
      <c r="Q465" s="119">
        <v>1</v>
      </c>
      <c r="S465" s="240">
        <v>0</v>
      </c>
      <c r="T465" s="240"/>
      <c r="W465" s="119">
        <v>0</v>
      </c>
      <c r="Y465" s="119">
        <v>1</v>
      </c>
    </row>
    <row r="466" spans="1:25" ht="15" customHeight="1">
      <c r="A466" s="241">
        <v>362</v>
      </c>
      <c r="B466" s="241"/>
      <c r="C466" s="241"/>
      <c r="D466" s="118">
        <v>16682</v>
      </c>
      <c r="F466" s="242" t="s">
        <v>465</v>
      </c>
      <c r="G466" s="242"/>
      <c r="I466" s="242" t="s">
        <v>458</v>
      </c>
      <c r="J466" s="242"/>
      <c r="K466" s="243">
        <v>44288</v>
      </c>
      <c r="L466" s="243"/>
      <c r="M466" s="244" t="s">
        <v>99</v>
      </c>
      <c r="N466" s="244"/>
      <c r="O466" s="119">
        <v>1</v>
      </c>
      <c r="Q466" s="119">
        <v>0</v>
      </c>
      <c r="S466" s="240">
        <v>0</v>
      </c>
      <c r="T466" s="240"/>
      <c r="W466" s="119">
        <v>0</v>
      </c>
      <c r="Y466" s="119">
        <v>1</v>
      </c>
    </row>
    <row r="467" spans="1:25" ht="15" customHeight="1">
      <c r="A467" s="241">
        <v>363</v>
      </c>
      <c r="B467" s="241"/>
      <c r="C467" s="241"/>
      <c r="D467" s="118">
        <v>16643</v>
      </c>
      <c r="F467" s="242" t="s">
        <v>466</v>
      </c>
      <c r="G467" s="242"/>
      <c r="I467" s="242" t="s">
        <v>458</v>
      </c>
      <c r="J467" s="242"/>
      <c r="K467" s="243">
        <v>44228</v>
      </c>
      <c r="L467" s="243"/>
      <c r="M467" s="244" t="s">
        <v>99</v>
      </c>
      <c r="N467" s="244"/>
      <c r="O467" s="119">
        <v>1</v>
      </c>
      <c r="Q467" s="119">
        <v>0</v>
      </c>
      <c r="S467" s="240">
        <v>0</v>
      </c>
      <c r="T467" s="240"/>
      <c r="W467" s="119">
        <v>0</v>
      </c>
      <c r="Y467" s="119">
        <v>1</v>
      </c>
    </row>
    <row r="468" spans="1:25" ht="15" customHeight="1">
      <c r="A468" s="241">
        <v>364</v>
      </c>
      <c r="B468" s="241"/>
      <c r="C468" s="241"/>
      <c r="D468" s="118">
        <v>5788</v>
      </c>
      <c r="F468" s="242" t="s">
        <v>467</v>
      </c>
      <c r="G468" s="242"/>
      <c r="I468" s="242" t="s">
        <v>458</v>
      </c>
      <c r="J468" s="242"/>
      <c r="K468" s="243">
        <v>43790</v>
      </c>
      <c r="L468" s="243"/>
      <c r="M468" s="244" t="s">
        <v>97</v>
      </c>
      <c r="N468" s="244"/>
      <c r="O468" s="119">
        <v>0</v>
      </c>
      <c r="Q468" s="119">
        <v>0</v>
      </c>
      <c r="S468" s="240">
        <v>1</v>
      </c>
      <c r="T468" s="240"/>
      <c r="W468" s="119">
        <v>0</v>
      </c>
      <c r="Y468" s="119">
        <v>1</v>
      </c>
    </row>
    <row r="469" spans="1:25" ht="15" customHeight="1">
      <c r="A469" s="241">
        <v>365</v>
      </c>
      <c r="B469" s="241"/>
      <c r="C469" s="241"/>
      <c r="D469" s="118">
        <v>6222</v>
      </c>
      <c r="F469" s="242" t="s">
        <v>468</v>
      </c>
      <c r="G469" s="242"/>
      <c r="I469" s="242" t="s">
        <v>458</v>
      </c>
      <c r="J469" s="242"/>
      <c r="K469" s="243">
        <v>44287</v>
      </c>
      <c r="L469" s="243"/>
      <c r="M469" s="244" t="s">
        <v>97</v>
      </c>
      <c r="N469" s="244"/>
      <c r="O469" s="119">
        <v>0</v>
      </c>
      <c r="Q469" s="119">
        <v>1</v>
      </c>
      <c r="S469" s="240">
        <v>0</v>
      </c>
      <c r="T469" s="240"/>
      <c r="W469" s="119">
        <v>0</v>
      </c>
      <c r="Y469" s="119">
        <v>1</v>
      </c>
    </row>
    <row r="470" spans="1:25" ht="15" customHeight="1">
      <c r="A470" s="241">
        <v>366</v>
      </c>
      <c r="B470" s="241"/>
      <c r="C470" s="241"/>
      <c r="D470" s="118">
        <v>6216</v>
      </c>
      <c r="F470" s="242" t="s">
        <v>469</v>
      </c>
      <c r="G470" s="242"/>
      <c r="I470" s="242" t="s">
        <v>458</v>
      </c>
      <c r="J470" s="242"/>
      <c r="K470" s="243">
        <v>44279</v>
      </c>
      <c r="L470" s="243"/>
      <c r="M470" s="244" t="s">
        <v>97</v>
      </c>
      <c r="N470" s="244"/>
      <c r="O470" s="119">
        <v>1</v>
      </c>
      <c r="Q470" s="119">
        <v>0</v>
      </c>
      <c r="S470" s="240">
        <v>0</v>
      </c>
      <c r="T470" s="240"/>
      <c r="W470" s="119">
        <v>0</v>
      </c>
      <c r="Y470" s="119">
        <v>1</v>
      </c>
    </row>
    <row r="471" spans="1:25" ht="15" customHeight="1">
      <c r="A471" s="241">
        <v>367</v>
      </c>
      <c r="B471" s="241"/>
      <c r="C471" s="241"/>
      <c r="D471" s="118">
        <v>16654</v>
      </c>
      <c r="F471" s="242" t="s">
        <v>470</v>
      </c>
      <c r="G471" s="242"/>
      <c r="I471" s="242" t="s">
        <v>458</v>
      </c>
      <c r="J471" s="242"/>
      <c r="K471" s="243">
        <v>44249</v>
      </c>
      <c r="L471" s="243"/>
      <c r="M471" s="244" t="s">
        <v>99</v>
      </c>
      <c r="N471" s="244"/>
      <c r="O471" s="119">
        <v>1</v>
      </c>
      <c r="Q471" s="119">
        <v>0</v>
      </c>
      <c r="S471" s="240">
        <v>0</v>
      </c>
      <c r="T471" s="240"/>
      <c r="W471" s="119">
        <v>0</v>
      </c>
      <c r="Y471" s="119">
        <v>1</v>
      </c>
    </row>
    <row r="472" spans="1:25" ht="15" customHeight="1">
      <c r="A472" s="241">
        <v>368</v>
      </c>
      <c r="B472" s="241"/>
      <c r="C472" s="241"/>
      <c r="D472" s="118">
        <v>6109</v>
      </c>
      <c r="F472" s="242" t="s">
        <v>471</v>
      </c>
      <c r="G472" s="242"/>
      <c r="I472" s="242" t="s">
        <v>458</v>
      </c>
      <c r="J472" s="242"/>
      <c r="K472" s="243">
        <v>44202</v>
      </c>
      <c r="L472" s="243"/>
      <c r="M472" s="244" t="s">
        <v>97</v>
      </c>
      <c r="N472" s="244"/>
      <c r="O472" s="119">
        <v>1</v>
      </c>
      <c r="Q472" s="119">
        <v>0</v>
      </c>
      <c r="S472" s="240">
        <v>0</v>
      </c>
      <c r="T472" s="240"/>
      <c r="W472" s="119">
        <v>0</v>
      </c>
      <c r="Y472" s="119">
        <v>1</v>
      </c>
    </row>
    <row r="473" spans="1:25" ht="15" customHeight="1">
      <c r="A473" s="241">
        <v>369</v>
      </c>
      <c r="B473" s="241"/>
      <c r="C473" s="241"/>
      <c r="D473" s="118">
        <v>6055</v>
      </c>
      <c r="F473" s="242" t="s">
        <v>472</v>
      </c>
      <c r="G473" s="242"/>
      <c r="I473" s="242" t="s">
        <v>458</v>
      </c>
      <c r="J473" s="242"/>
      <c r="K473" s="243">
        <v>44158</v>
      </c>
      <c r="L473" s="243"/>
      <c r="M473" s="244" t="s">
        <v>97</v>
      </c>
      <c r="N473" s="244"/>
      <c r="O473" s="119">
        <v>1</v>
      </c>
      <c r="Q473" s="119">
        <v>0</v>
      </c>
      <c r="S473" s="240">
        <v>0</v>
      </c>
      <c r="T473" s="240"/>
      <c r="W473" s="119">
        <v>0</v>
      </c>
      <c r="Y473" s="119">
        <v>1</v>
      </c>
    </row>
    <row r="474" spans="1:25" ht="15" customHeight="1">
      <c r="A474" s="241">
        <v>370</v>
      </c>
      <c r="B474" s="241"/>
      <c r="C474" s="241"/>
      <c r="D474" s="118">
        <v>16637</v>
      </c>
      <c r="F474" s="242" t="s">
        <v>473</v>
      </c>
      <c r="G474" s="242"/>
      <c r="I474" s="242" t="s">
        <v>458</v>
      </c>
      <c r="J474" s="242"/>
      <c r="K474" s="243">
        <v>44228</v>
      </c>
      <c r="L474" s="243"/>
      <c r="M474" s="244" t="s">
        <v>99</v>
      </c>
      <c r="N474" s="244"/>
      <c r="O474" s="119">
        <v>1</v>
      </c>
      <c r="Q474" s="119">
        <v>0</v>
      </c>
      <c r="S474" s="240">
        <v>0</v>
      </c>
      <c r="T474" s="240"/>
      <c r="W474" s="119">
        <v>0</v>
      </c>
      <c r="Y474" s="119">
        <v>1</v>
      </c>
    </row>
    <row r="475" spans="1:25" ht="15" customHeight="1">
      <c r="A475" s="241">
        <v>371</v>
      </c>
      <c r="B475" s="241"/>
      <c r="C475" s="241"/>
      <c r="D475" s="118">
        <v>6207</v>
      </c>
      <c r="F475" s="242" t="s">
        <v>474</v>
      </c>
      <c r="G475" s="242"/>
      <c r="I475" s="242" t="s">
        <v>458</v>
      </c>
      <c r="J475" s="242"/>
      <c r="K475" s="243">
        <v>44274</v>
      </c>
      <c r="L475" s="243"/>
      <c r="M475" s="244" t="s">
        <v>97</v>
      </c>
      <c r="N475" s="244"/>
      <c r="O475" s="119">
        <v>0</v>
      </c>
      <c r="Q475" s="119">
        <v>1</v>
      </c>
      <c r="S475" s="240">
        <v>0</v>
      </c>
      <c r="T475" s="240"/>
      <c r="W475" s="119">
        <v>0</v>
      </c>
      <c r="Y475" s="119">
        <v>1</v>
      </c>
    </row>
    <row r="476" spans="1:25" ht="15" customHeight="1">
      <c r="A476" s="241">
        <v>372</v>
      </c>
      <c r="B476" s="241"/>
      <c r="C476" s="241"/>
      <c r="D476" s="118">
        <v>16662</v>
      </c>
      <c r="F476" s="242" t="s">
        <v>475</v>
      </c>
      <c r="G476" s="242"/>
      <c r="I476" s="242" t="s">
        <v>458</v>
      </c>
      <c r="J476" s="242"/>
      <c r="K476" s="243">
        <v>44256</v>
      </c>
      <c r="L476" s="243"/>
      <c r="M476" s="244" t="s">
        <v>99</v>
      </c>
      <c r="N476" s="244"/>
      <c r="O476" s="119">
        <v>1</v>
      </c>
      <c r="Q476" s="119">
        <v>0</v>
      </c>
      <c r="S476" s="240">
        <v>0</v>
      </c>
      <c r="T476" s="240"/>
      <c r="W476" s="119">
        <v>0</v>
      </c>
      <c r="Y476" s="119">
        <v>1</v>
      </c>
    </row>
    <row r="477" spans="1:25" ht="15" customHeight="1">
      <c r="A477" s="241">
        <v>373</v>
      </c>
      <c r="B477" s="241"/>
      <c r="C477" s="241"/>
      <c r="D477" s="118">
        <v>16509</v>
      </c>
      <c r="F477" s="242" t="s">
        <v>476</v>
      </c>
      <c r="G477" s="242"/>
      <c r="I477" s="242" t="s">
        <v>458</v>
      </c>
      <c r="J477" s="242"/>
      <c r="K477" s="243">
        <v>44062</v>
      </c>
      <c r="L477" s="243"/>
      <c r="M477" s="244" t="s">
        <v>99</v>
      </c>
      <c r="N477" s="244"/>
      <c r="O477" s="119">
        <v>0</v>
      </c>
      <c r="Q477" s="119">
        <v>0</v>
      </c>
      <c r="S477" s="240">
        <v>1</v>
      </c>
      <c r="T477" s="240"/>
      <c r="W477" s="119">
        <v>0</v>
      </c>
      <c r="Y477" s="119">
        <v>1</v>
      </c>
    </row>
    <row r="478" spans="1:25" ht="15" customHeight="1">
      <c r="A478" s="241">
        <v>374</v>
      </c>
      <c r="B478" s="241"/>
      <c r="C478" s="241"/>
      <c r="D478" s="118">
        <v>6217</v>
      </c>
      <c r="F478" s="242" t="s">
        <v>477</v>
      </c>
      <c r="G478" s="242"/>
      <c r="I478" s="242" t="s">
        <v>458</v>
      </c>
      <c r="J478" s="242"/>
      <c r="K478" s="243">
        <v>44281</v>
      </c>
      <c r="L478" s="243"/>
      <c r="M478" s="244" t="s">
        <v>97</v>
      </c>
      <c r="N478" s="244"/>
      <c r="O478" s="119">
        <v>0</v>
      </c>
      <c r="Q478" s="119">
        <v>1</v>
      </c>
      <c r="S478" s="240">
        <v>0</v>
      </c>
      <c r="T478" s="240"/>
      <c r="W478" s="119">
        <v>0</v>
      </c>
      <c r="Y478" s="119">
        <v>1</v>
      </c>
    </row>
    <row r="479" spans="1:25" ht="15" customHeight="1">
      <c r="A479" s="241">
        <v>375</v>
      </c>
      <c r="B479" s="241"/>
      <c r="C479" s="241"/>
      <c r="D479" s="118">
        <v>6227</v>
      </c>
      <c r="F479" s="242" t="s">
        <v>478</v>
      </c>
      <c r="G479" s="242"/>
      <c r="I479" s="242" t="s">
        <v>458</v>
      </c>
      <c r="J479" s="242"/>
      <c r="K479" s="243">
        <v>44288</v>
      </c>
      <c r="L479" s="243"/>
      <c r="M479" s="244" t="s">
        <v>97</v>
      </c>
      <c r="N479" s="244"/>
      <c r="O479" s="119">
        <v>0</v>
      </c>
      <c r="Q479" s="119">
        <v>1</v>
      </c>
      <c r="S479" s="240">
        <v>0</v>
      </c>
      <c r="T479" s="240"/>
      <c r="W479" s="119">
        <v>0</v>
      </c>
      <c r="Y479" s="119">
        <v>1</v>
      </c>
    </row>
    <row r="480" spans="1:25" ht="15" customHeight="1"/>
    <row r="481" spans="1:25" ht="15" customHeight="1">
      <c r="N481" s="240">
        <v>12</v>
      </c>
      <c r="O481" s="240"/>
      <c r="P481" s="240">
        <v>6</v>
      </c>
      <c r="Q481" s="240"/>
      <c r="R481" s="240">
        <v>2</v>
      </c>
      <c r="S481" s="240"/>
      <c r="T481" s="240"/>
      <c r="V481" s="240">
        <v>0</v>
      </c>
      <c r="W481" s="240"/>
      <c r="X481" s="240">
        <v>20</v>
      </c>
      <c r="Y481" s="240"/>
    </row>
    <row r="482" spans="1:25" ht="15" customHeight="1">
      <c r="F482" s="245" t="s">
        <v>479</v>
      </c>
      <c r="G482" s="245"/>
      <c r="H482" s="245"/>
      <c r="I482" s="245"/>
    </row>
    <row r="483" spans="1:25" ht="15" customHeight="1">
      <c r="A483" s="241">
        <v>376</v>
      </c>
      <c r="B483" s="241"/>
      <c r="C483" s="241"/>
      <c r="D483" s="118">
        <v>3033</v>
      </c>
      <c r="F483" s="242" t="s">
        <v>480</v>
      </c>
      <c r="G483" s="242"/>
      <c r="I483" s="242" t="s">
        <v>479</v>
      </c>
      <c r="J483" s="242"/>
      <c r="K483" s="243">
        <v>40779</v>
      </c>
      <c r="L483" s="243"/>
      <c r="M483" s="244" t="s">
        <v>97</v>
      </c>
      <c r="N483" s="244"/>
      <c r="O483" s="119">
        <v>1</v>
      </c>
      <c r="Q483" s="119">
        <v>0</v>
      </c>
      <c r="S483" s="240">
        <v>0</v>
      </c>
      <c r="T483" s="240"/>
      <c r="W483" s="119">
        <v>0</v>
      </c>
      <c r="Y483" s="119">
        <v>1</v>
      </c>
    </row>
    <row r="484" spans="1:25" ht="15" customHeight="1">
      <c r="A484" s="241">
        <v>377</v>
      </c>
      <c r="B484" s="241"/>
      <c r="C484" s="241"/>
      <c r="D484" s="118">
        <v>4094</v>
      </c>
      <c r="F484" s="242" t="s">
        <v>481</v>
      </c>
      <c r="G484" s="242"/>
      <c r="I484" s="242" t="s">
        <v>479</v>
      </c>
      <c r="J484" s="242"/>
      <c r="K484" s="243">
        <v>41901</v>
      </c>
      <c r="L484" s="243"/>
      <c r="M484" s="244" t="s">
        <v>97</v>
      </c>
      <c r="N484" s="244"/>
      <c r="O484" s="119">
        <v>1</v>
      </c>
      <c r="Q484" s="119">
        <v>0</v>
      </c>
      <c r="S484" s="240">
        <v>0</v>
      </c>
      <c r="T484" s="240"/>
      <c r="W484" s="119">
        <v>0</v>
      </c>
      <c r="Y484" s="119">
        <v>1</v>
      </c>
    </row>
    <row r="485" spans="1:25" ht="15" customHeight="1"/>
    <row r="486" spans="1:25" ht="15" customHeight="1">
      <c r="N486" s="240">
        <v>2</v>
      </c>
      <c r="O486" s="240"/>
      <c r="P486" s="240">
        <v>0</v>
      </c>
      <c r="Q486" s="240"/>
      <c r="R486" s="240">
        <v>0</v>
      </c>
      <c r="S486" s="240"/>
      <c r="T486" s="240"/>
      <c r="V486" s="240">
        <v>0</v>
      </c>
      <c r="W486" s="240"/>
      <c r="X486" s="240">
        <v>2</v>
      </c>
      <c r="Y486" s="240"/>
    </row>
    <row r="487" spans="1:25" ht="15" customHeight="1">
      <c r="F487" s="245" t="s">
        <v>482</v>
      </c>
      <c r="G487" s="245"/>
      <c r="H487" s="245"/>
      <c r="I487" s="245"/>
    </row>
    <row r="488" spans="1:25" ht="15" customHeight="1">
      <c r="A488" s="241">
        <v>378</v>
      </c>
      <c r="B488" s="241"/>
      <c r="C488" s="241"/>
      <c r="D488" s="118">
        <v>4057</v>
      </c>
      <c r="F488" s="242" t="s">
        <v>483</v>
      </c>
      <c r="G488" s="242"/>
      <c r="I488" s="242" t="s">
        <v>482</v>
      </c>
      <c r="J488" s="242"/>
      <c r="K488" s="243">
        <v>41589</v>
      </c>
      <c r="L488" s="243"/>
      <c r="M488" s="244" t="s">
        <v>97</v>
      </c>
      <c r="N488" s="244"/>
      <c r="O488" s="119">
        <v>1</v>
      </c>
      <c r="Q488" s="119">
        <v>0</v>
      </c>
      <c r="S488" s="240">
        <v>0</v>
      </c>
      <c r="T488" s="240"/>
      <c r="W488" s="119">
        <v>0</v>
      </c>
      <c r="Y488" s="119">
        <v>1</v>
      </c>
    </row>
    <row r="489" spans="1:25" ht="15" customHeight="1">
      <c r="A489" s="241">
        <v>379</v>
      </c>
      <c r="B489" s="241"/>
      <c r="C489" s="241"/>
      <c r="D489" s="118">
        <v>16155</v>
      </c>
      <c r="F489" s="242" t="s">
        <v>484</v>
      </c>
      <c r="G489" s="242"/>
      <c r="I489" s="242" t="s">
        <v>482</v>
      </c>
      <c r="J489" s="242"/>
      <c r="K489" s="243">
        <v>43461</v>
      </c>
      <c r="L489" s="243"/>
      <c r="M489" s="244" t="s">
        <v>99</v>
      </c>
      <c r="N489" s="244"/>
      <c r="O489" s="119">
        <v>0</v>
      </c>
      <c r="Q489" s="119">
        <v>0</v>
      </c>
      <c r="S489" s="240">
        <v>1</v>
      </c>
      <c r="T489" s="240"/>
      <c r="W489" s="119">
        <v>0</v>
      </c>
      <c r="Y489" s="119">
        <v>1</v>
      </c>
    </row>
    <row r="490" spans="1:25" ht="15" customHeight="1">
      <c r="A490" s="241">
        <v>380</v>
      </c>
      <c r="B490" s="241"/>
      <c r="C490" s="241"/>
      <c r="D490" s="118">
        <v>16634</v>
      </c>
      <c r="F490" s="242" t="s">
        <v>485</v>
      </c>
      <c r="G490" s="242"/>
      <c r="I490" s="242" t="s">
        <v>482</v>
      </c>
      <c r="J490" s="242"/>
      <c r="K490" s="243">
        <v>44223</v>
      </c>
      <c r="L490" s="243"/>
      <c r="M490" s="244" t="s">
        <v>99</v>
      </c>
      <c r="N490" s="244"/>
      <c r="O490" s="119">
        <v>1</v>
      </c>
      <c r="Q490" s="119">
        <v>0</v>
      </c>
      <c r="S490" s="240">
        <v>0</v>
      </c>
      <c r="T490" s="240"/>
      <c r="W490" s="119">
        <v>0</v>
      </c>
      <c r="Y490" s="119">
        <v>1</v>
      </c>
    </row>
    <row r="491" spans="1:25" ht="15" customHeight="1">
      <c r="A491" s="241">
        <v>381</v>
      </c>
      <c r="B491" s="241"/>
      <c r="C491" s="241"/>
      <c r="D491" s="118">
        <v>3004</v>
      </c>
      <c r="F491" s="242" t="s">
        <v>486</v>
      </c>
      <c r="G491" s="242"/>
      <c r="I491" s="242" t="s">
        <v>482</v>
      </c>
      <c r="J491" s="242"/>
      <c r="K491" s="243">
        <v>34984</v>
      </c>
      <c r="L491" s="243"/>
      <c r="M491" s="244" t="s">
        <v>97</v>
      </c>
      <c r="N491" s="244"/>
      <c r="O491" s="119">
        <v>1</v>
      </c>
      <c r="Q491" s="119">
        <v>0</v>
      </c>
      <c r="S491" s="240">
        <v>0</v>
      </c>
      <c r="T491" s="240"/>
      <c r="W491" s="119">
        <v>0</v>
      </c>
      <c r="Y491" s="119">
        <v>1</v>
      </c>
    </row>
    <row r="492" spans="1:25" ht="15" customHeight="1">
      <c r="A492" s="241">
        <v>382</v>
      </c>
      <c r="B492" s="241"/>
      <c r="C492" s="241"/>
      <c r="D492" s="118">
        <v>15794</v>
      </c>
      <c r="F492" s="242" t="s">
        <v>487</v>
      </c>
      <c r="G492" s="242"/>
      <c r="I492" s="242" t="s">
        <v>482</v>
      </c>
      <c r="J492" s="242"/>
      <c r="K492" s="243">
        <v>42912</v>
      </c>
      <c r="L492" s="243"/>
      <c r="M492" s="244" t="s">
        <v>99</v>
      </c>
      <c r="N492" s="244"/>
      <c r="O492" s="119">
        <v>0</v>
      </c>
      <c r="Q492" s="119">
        <v>0</v>
      </c>
      <c r="S492" s="240">
        <v>1</v>
      </c>
      <c r="T492" s="240"/>
      <c r="W492" s="119">
        <v>0</v>
      </c>
      <c r="Y492" s="119">
        <v>1</v>
      </c>
    </row>
    <row r="493" spans="1:25" ht="15" customHeight="1">
      <c r="A493" s="241">
        <v>383</v>
      </c>
      <c r="B493" s="241"/>
      <c r="C493" s="241"/>
      <c r="D493" s="118">
        <v>16261</v>
      </c>
      <c r="F493" s="242" t="s">
        <v>488</v>
      </c>
      <c r="G493" s="242"/>
      <c r="I493" s="242" t="s">
        <v>482</v>
      </c>
      <c r="J493" s="242"/>
      <c r="K493" s="243">
        <v>43622</v>
      </c>
      <c r="L493" s="243"/>
      <c r="M493" s="244" t="s">
        <v>99</v>
      </c>
      <c r="N493" s="244"/>
      <c r="O493" s="119">
        <v>1</v>
      </c>
      <c r="Q493" s="119">
        <v>0</v>
      </c>
      <c r="S493" s="240">
        <v>0</v>
      </c>
      <c r="T493" s="240"/>
      <c r="W493" s="119">
        <v>0</v>
      </c>
      <c r="Y493" s="119">
        <v>1</v>
      </c>
    </row>
    <row r="494" spans="1:25" ht="15" customHeight="1">
      <c r="A494" s="241">
        <v>384</v>
      </c>
      <c r="B494" s="241"/>
      <c r="C494" s="241"/>
      <c r="D494" s="118">
        <v>3326</v>
      </c>
      <c r="F494" s="242" t="s">
        <v>489</v>
      </c>
      <c r="G494" s="242"/>
      <c r="I494" s="242" t="s">
        <v>482</v>
      </c>
      <c r="J494" s="242"/>
      <c r="K494" s="243">
        <v>42135</v>
      </c>
      <c r="L494" s="243"/>
      <c r="M494" s="244" t="s">
        <v>97</v>
      </c>
      <c r="N494" s="244"/>
      <c r="O494" s="119">
        <v>0</v>
      </c>
      <c r="Q494" s="119">
        <v>1</v>
      </c>
      <c r="S494" s="240">
        <v>0</v>
      </c>
      <c r="T494" s="240"/>
      <c r="W494" s="119">
        <v>0</v>
      </c>
      <c r="Y494" s="119">
        <v>1</v>
      </c>
    </row>
    <row r="495" spans="1:25" ht="15" customHeight="1"/>
    <row r="496" spans="1:25" ht="15" customHeight="1">
      <c r="N496" s="240">
        <v>4</v>
      </c>
      <c r="O496" s="240"/>
      <c r="P496" s="240">
        <v>1</v>
      </c>
      <c r="Q496" s="240"/>
      <c r="R496" s="240">
        <v>2</v>
      </c>
      <c r="S496" s="240"/>
      <c r="T496" s="240"/>
      <c r="V496" s="240">
        <v>0</v>
      </c>
      <c r="W496" s="240"/>
      <c r="X496" s="240">
        <v>7</v>
      </c>
      <c r="Y496" s="240"/>
    </row>
    <row r="497" spans="14:25" ht="15" customHeight="1"/>
    <row r="498" spans="14:25" ht="15" customHeight="1">
      <c r="N498" s="240">
        <v>208</v>
      </c>
      <c r="O498" s="240"/>
      <c r="P498" s="240">
        <v>92</v>
      </c>
      <c r="Q498" s="240"/>
      <c r="R498" s="240">
        <v>84</v>
      </c>
      <c r="S498" s="240"/>
      <c r="T498" s="240"/>
      <c r="V498" s="240">
        <v>0</v>
      </c>
      <c r="W498" s="240"/>
      <c r="X498" s="240">
        <v>384</v>
      </c>
      <c r="Y498" s="240"/>
    </row>
    <row r="499" spans="14:25" ht="15" customHeight="1"/>
    <row r="500" spans="14:25" ht="15" customHeight="1"/>
    <row r="501" spans="14:25" ht="15" customHeight="1"/>
  </sheetData>
  <mergeCells count="2526">
    <mergeCell ref="S9:T9"/>
    <mergeCell ref="A10:C10"/>
    <mergeCell ref="F10:G10"/>
    <mergeCell ref="I10:J10"/>
    <mergeCell ref="K10:L10"/>
    <mergeCell ref="M10:N10"/>
    <mergeCell ref="S10:T10"/>
    <mergeCell ref="F8:I8"/>
    <mergeCell ref="A9:C9"/>
    <mergeCell ref="F9:G9"/>
    <mergeCell ref="I9:J9"/>
    <mergeCell ref="K9:L9"/>
    <mergeCell ref="M9:N9"/>
    <mergeCell ref="G2:S2"/>
    <mergeCell ref="B4:Y4"/>
    <mergeCell ref="A6:B6"/>
    <mergeCell ref="F6:G6"/>
    <mergeCell ref="I6:J6"/>
    <mergeCell ref="M6:N6"/>
    <mergeCell ref="S6:T6"/>
    <mergeCell ref="A13:C13"/>
    <mergeCell ref="F13:G13"/>
    <mergeCell ref="I13:J13"/>
    <mergeCell ref="K13:L13"/>
    <mergeCell ref="M13:N13"/>
    <mergeCell ref="S13:T13"/>
    <mergeCell ref="A12:C12"/>
    <mergeCell ref="F12:G12"/>
    <mergeCell ref="I12:J12"/>
    <mergeCell ref="K12:L12"/>
    <mergeCell ref="M12:N12"/>
    <mergeCell ref="S12:T12"/>
    <mergeCell ref="A11:C11"/>
    <mergeCell ref="F11:G11"/>
    <mergeCell ref="I11:J11"/>
    <mergeCell ref="K11:L11"/>
    <mergeCell ref="M11:N11"/>
    <mergeCell ref="S11:T11"/>
    <mergeCell ref="A16:C16"/>
    <mergeCell ref="F16:G16"/>
    <mergeCell ref="I16:J16"/>
    <mergeCell ref="K16:L16"/>
    <mergeCell ref="M16:N16"/>
    <mergeCell ref="S16:T16"/>
    <mergeCell ref="A15:C15"/>
    <mergeCell ref="F15:G15"/>
    <mergeCell ref="I15:J15"/>
    <mergeCell ref="K15:L15"/>
    <mergeCell ref="M15:N15"/>
    <mergeCell ref="S15:T15"/>
    <mergeCell ref="A14:C14"/>
    <mergeCell ref="F14:G14"/>
    <mergeCell ref="I14:J14"/>
    <mergeCell ref="K14:L14"/>
    <mergeCell ref="M14:N14"/>
    <mergeCell ref="S14:T14"/>
    <mergeCell ref="A19:C19"/>
    <mergeCell ref="F19:G19"/>
    <mergeCell ref="I19:J19"/>
    <mergeCell ref="K19:L19"/>
    <mergeCell ref="M19:N19"/>
    <mergeCell ref="S19:T19"/>
    <mergeCell ref="A18:C18"/>
    <mergeCell ref="F18:G18"/>
    <mergeCell ref="I18:J18"/>
    <mergeCell ref="K18:L18"/>
    <mergeCell ref="M18:N18"/>
    <mergeCell ref="S18:T18"/>
    <mergeCell ref="A17:C17"/>
    <mergeCell ref="F17:G17"/>
    <mergeCell ref="I17:J17"/>
    <mergeCell ref="K17:L17"/>
    <mergeCell ref="M17:N17"/>
    <mergeCell ref="S17:T17"/>
    <mergeCell ref="A22:C22"/>
    <mergeCell ref="F22:G22"/>
    <mergeCell ref="I22:J22"/>
    <mergeCell ref="K22:L22"/>
    <mergeCell ref="M22:N22"/>
    <mergeCell ref="S22:T22"/>
    <mergeCell ref="A21:C21"/>
    <mergeCell ref="F21:G21"/>
    <mergeCell ref="I21:J21"/>
    <mergeCell ref="K21:L21"/>
    <mergeCell ref="M21:N21"/>
    <mergeCell ref="S21:T21"/>
    <mergeCell ref="A20:C20"/>
    <mergeCell ref="F20:G20"/>
    <mergeCell ref="I20:J20"/>
    <mergeCell ref="K20:L20"/>
    <mergeCell ref="M20:N20"/>
    <mergeCell ref="S20:T20"/>
    <mergeCell ref="A25:C25"/>
    <mergeCell ref="F25:G25"/>
    <mergeCell ref="I25:J25"/>
    <mergeCell ref="K25:L25"/>
    <mergeCell ref="M25:N25"/>
    <mergeCell ref="S25:T25"/>
    <mergeCell ref="A24:C24"/>
    <mergeCell ref="F24:G24"/>
    <mergeCell ref="I24:J24"/>
    <mergeCell ref="K24:L24"/>
    <mergeCell ref="M24:N24"/>
    <mergeCell ref="S24:T24"/>
    <mergeCell ref="A23:C23"/>
    <mergeCell ref="F23:G23"/>
    <mergeCell ref="I23:J23"/>
    <mergeCell ref="K23:L23"/>
    <mergeCell ref="M23:N23"/>
    <mergeCell ref="S23:T23"/>
    <mergeCell ref="A28:C28"/>
    <mergeCell ref="F28:G28"/>
    <mergeCell ref="I28:J28"/>
    <mergeCell ref="K28:L28"/>
    <mergeCell ref="M28:N28"/>
    <mergeCell ref="S28:T28"/>
    <mergeCell ref="A27:C27"/>
    <mergeCell ref="F27:G27"/>
    <mergeCell ref="I27:J27"/>
    <mergeCell ref="K27:L27"/>
    <mergeCell ref="M27:N27"/>
    <mergeCell ref="S27:T27"/>
    <mergeCell ref="A26:C26"/>
    <mergeCell ref="F26:G26"/>
    <mergeCell ref="I26:J26"/>
    <mergeCell ref="K26:L26"/>
    <mergeCell ref="M26:N26"/>
    <mergeCell ref="S26:T26"/>
    <mergeCell ref="A31:C31"/>
    <mergeCell ref="F31:G31"/>
    <mergeCell ref="I31:J31"/>
    <mergeCell ref="K31:L31"/>
    <mergeCell ref="M31:N31"/>
    <mergeCell ref="S31:T31"/>
    <mergeCell ref="A30:C30"/>
    <mergeCell ref="F30:G30"/>
    <mergeCell ref="I30:J30"/>
    <mergeCell ref="K30:L30"/>
    <mergeCell ref="M30:N30"/>
    <mergeCell ref="S30:T30"/>
    <mergeCell ref="A29:C29"/>
    <mergeCell ref="F29:G29"/>
    <mergeCell ref="I29:J29"/>
    <mergeCell ref="K29:L29"/>
    <mergeCell ref="M29:N29"/>
    <mergeCell ref="S29:T29"/>
    <mergeCell ref="A34:C34"/>
    <mergeCell ref="F34:G34"/>
    <mergeCell ref="I34:J34"/>
    <mergeCell ref="K34:L34"/>
    <mergeCell ref="M34:N34"/>
    <mergeCell ref="S34:T34"/>
    <mergeCell ref="A33:C33"/>
    <mergeCell ref="F33:G33"/>
    <mergeCell ref="I33:J33"/>
    <mergeCell ref="K33:L33"/>
    <mergeCell ref="M33:N33"/>
    <mergeCell ref="S33:T33"/>
    <mergeCell ref="A32:C32"/>
    <mergeCell ref="F32:G32"/>
    <mergeCell ref="I32:J32"/>
    <mergeCell ref="K32:L32"/>
    <mergeCell ref="M32:N32"/>
    <mergeCell ref="S32:T32"/>
    <mergeCell ref="A37:C37"/>
    <mergeCell ref="F37:G37"/>
    <mergeCell ref="I37:J37"/>
    <mergeCell ref="K37:L37"/>
    <mergeCell ref="M37:N37"/>
    <mergeCell ref="S37:T37"/>
    <mergeCell ref="A36:C36"/>
    <mergeCell ref="F36:G36"/>
    <mergeCell ref="I36:J36"/>
    <mergeCell ref="K36:L36"/>
    <mergeCell ref="M36:N36"/>
    <mergeCell ref="S36:T36"/>
    <mergeCell ref="A35:C35"/>
    <mergeCell ref="F35:G35"/>
    <mergeCell ref="I35:J35"/>
    <mergeCell ref="K35:L35"/>
    <mergeCell ref="M35:N35"/>
    <mergeCell ref="S35:T35"/>
    <mergeCell ref="A40:C40"/>
    <mergeCell ref="F40:G40"/>
    <mergeCell ref="I40:J40"/>
    <mergeCell ref="K40:L40"/>
    <mergeCell ref="M40:N40"/>
    <mergeCell ref="S40:T40"/>
    <mergeCell ref="A39:C39"/>
    <mergeCell ref="F39:G39"/>
    <mergeCell ref="I39:J39"/>
    <mergeCell ref="K39:L39"/>
    <mergeCell ref="M39:N39"/>
    <mergeCell ref="S39:T39"/>
    <mergeCell ref="A38:C38"/>
    <mergeCell ref="F38:G38"/>
    <mergeCell ref="I38:J38"/>
    <mergeCell ref="K38:L38"/>
    <mergeCell ref="M38:N38"/>
    <mergeCell ref="S38:T38"/>
    <mergeCell ref="A45:C45"/>
    <mergeCell ref="F45:G45"/>
    <mergeCell ref="I45:J45"/>
    <mergeCell ref="K45:L45"/>
    <mergeCell ref="M45:N45"/>
    <mergeCell ref="S45:T45"/>
    <mergeCell ref="A44:C44"/>
    <mergeCell ref="F44:G44"/>
    <mergeCell ref="I44:J44"/>
    <mergeCell ref="K44:L44"/>
    <mergeCell ref="M44:N44"/>
    <mergeCell ref="S44:T44"/>
    <mergeCell ref="N42:O42"/>
    <mergeCell ref="P42:Q42"/>
    <mergeCell ref="R42:T42"/>
    <mergeCell ref="V42:W42"/>
    <mergeCell ref="X42:Y42"/>
    <mergeCell ref="F43:I43"/>
    <mergeCell ref="A50:C50"/>
    <mergeCell ref="F50:G50"/>
    <mergeCell ref="I50:J50"/>
    <mergeCell ref="K50:L50"/>
    <mergeCell ref="M50:N50"/>
    <mergeCell ref="S50:T50"/>
    <mergeCell ref="A49:C49"/>
    <mergeCell ref="F49:G49"/>
    <mergeCell ref="I49:J49"/>
    <mergeCell ref="K49:L49"/>
    <mergeCell ref="M49:N49"/>
    <mergeCell ref="S49:T49"/>
    <mergeCell ref="N47:O47"/>
    <mergeCell ref="P47:Q47"/>
    <mergeCell ref="R47:T47"/>
    <mergeCell ref="V47:W47"/>
    <mergeCell ref="X47:Y47"/>
    <mergeCell ref="F48:I48"/>
    <mergeCell ref="N54:O54"/>
    <mergeCell ref="P54:Q54"/>
    <mergeCell ref="R54:T54"/>
    <mergeCell ref="V54:W54"/>
    <mergeCell ref="X54:Y54"/>
    <mergeCell ref="F55:I55"/>
    <mergeCell ref="A52:C52"/>
    <mergeCell ref="F52:G52"/>
    <mergeCell ref="I52:J52"/>
    <mergeCell ref="K52:L52"/>
    <mergeCell ref="M52:N52"/>
    <mergeCell ref="S52:T52"/>
    <mergeCell ref="A51:C51"/>
    <mergeCell ref="F51:G51"/>
    <mergeCell ref="I51:J51"/>
    <mergeCell ref="K51:L51"/>
    <mergeCell ref="M51:N51"/>
    <mergeCell ref="S51:T51"/>
    <mergeCell ref="A58:C58"/>
    <mergeCell ref="F58:G58"/>
    <mergeCell ref="I58:J58"/>
    <mergeCell ref="K58:L58"/>
    <mergeCell ref="M58:N58"/>
    <mergeCell ref="S58:T58"/>
    <mergeCell ref="A57:C57"/>
    <mergeCell ref="F57:G57"/>
    <mergeCell ref="I57:J57"/>
    <mergeCell ref="K57:L57"/>
    <mergeCell ref="M57:N57"/>
    <mergeCell ref="S57:T57"/>
    <mergeCell ref="A56:C56"/>
    <mergeCell ref="F56:G56"/>
    <mergeCell ref="I56:J56"/>
    <mergeCell ref="K56:L56"/>
    <mergeCell ref="M56:N56"/>
    <mergeCell ref="S56:T56"/>
    <mergeCell ref="A61:C61"/>
    <mergeCell ref="F61:G61"/>
    <mergeCell ref="I61:J61"/>
    <mergeCell ref="K61:L61"/>
    <mergeCell ref="M61:N61"/>
    <mergeCell ref="S61:T61"/>
    <mergeCell ref="A60:C60"/>
    <mergeCell ref="F60:G60"/>
    <mergeCell ref="I60:J60"/>
    <mergeCell ref="K60:L60"/>
    <mergeCell ref="M60:N60"/>
    <mergeCell ref="S60:T60"/>
    <mergeCell ref="A59:C59"/>
    <mergeCell ref="F59:G59"/>
    <mergeCell ref="I59:J59"/>
    <mergeCell ref="K59:L59"/>
    <mergeCell ref="M59:N59"/>
    <mergeCell ref="S59:T59"/>
    <mergeCell ref="A64:C64"/>
    <mergeCell ref="F64:G64"/>
    <mergeCell ref="I64:J64"/>
    <mergeCell ref="K64:L64"/>
    <mergeCell ref="M64:N64"/>
    <mergeCell ref="S64:T64"/>
    <mergeCell ref="A63:C63"/>
    <mergeCell ref="F63:G63"/>
    <mergeCell ref="I63:J63"/>
    <mergeCell ref="K63:L63"/>
    <mergeCell ref="M63:N63"/>
    <mergeCell ref="S63:T63"/>
    <mergeCell ref="A62:C62"/>
    <mergeCell ref="F62:G62"/>
    <mergeCell ref="I62:J62"/>
    <mergeCell ref="K62:L62"/>
    <mergeCell ref="M62:N62"/>
    <mergeCell ref="S62:T62"/>
    <mergeCell ref="A69:C69"/>
    <mergeCell ref="F69:G69"/>
    <mergeCell ref="I69:J69"/>
    <mergeCell ref="K69:L69"/>
    <mergeCell ref="M69:N69"/>
    <mergeCell ref="S69:T69"/>
    <mergeCell ref="A68:C68"/>
    <mergeCell ref="F68:G68"/>
    <mergeCell ref="I68:J68"/>
    <mergeCell ref="K68:L68"/>
    <mergeCell ref="M68:N68"/>
    <mergeCell ref="S68:T68"/>
    <mergeCell ref="N66:O66"/>
    <mergeCell ref="P66:Q66"/>
    <mergeCell ref="R66:T66"/>
    <mergeCell ref="V66:W66"/>
    <mergeCell ref="X66:Y66"/>
    <mergeCell ref="F67:I67"/>
    <mergeCell ref="A72:C72"/>
    <mergeCell ref="F72:G72"/>
    <mergeCell ref="I72:J72"/>
    <mergeCell ref="K72:L72"/>
    <mergeCell ref="M72:N72"/>
    <mergeCell ref="S72:T72"/>
    <mergeCell ref="A71:C71"/>
    <mergeCell ref="F71:G71"/>
    <mergeCell ref="I71:J71"/>
    <mergeCell ref="K71:L71"/>
    <mergeCell ref="M71:N71"/>
    <mergeCell ref="S71:T71"/>
    <mergeCell ref="A70:C70"/>
    <mergeCell ref="F70:G70"/>
    <mergeCell ref="I70:J70"/>
    <mergeCell ref="K70:L70"/>
    <mergeCell ref="M70:N70"/>
    <mergeCell ref="S70:T70"/>
    <mergeCell ref="A75:C75"/>
    <mergeCell ref="F75:G75"/>
    <mergeCell ref="I75:J75"/>
    <mergeCell ref="K75:L75"/>
    <mergeCell ref="M75:N75"/>
    <mergeCell ref="S75:T75"/>
    <mergeCell ref="A74:C74"/>
    <mergeCell ref="F74:G74"/>
    <mergeCell ref="I74:J74"/>
    <mergeCell ref="K74:L74"/>
    <mergeCell ref="M74:N74"/>
    <mergeCell ref="S74:T74"/>
    <mergeCell ref="A73:C73"/>
    <mergeCell ref="F73:G73"/>
    <mergeCell ref="I73:J73"/>
    <mergeCell ref="K73:L73"/>
    <mergeCell ref="M73:N73"/>
    <mergeCell ref="S73:T73"/>
    <mergeCell ref="N79:O79"/>
    <mergeCell ref="P79:Q79"/>
    <mergeCell ref="R79:T79"/>
    <mergeCell ref="V79:W79"/>
    <mergeCell ref="X79:Y79"/>
    <mergeCell ref="F80:I80"/>
    <mergeCell ref="A77:C77"/>
    <mergeCell ref="F77:G77"/>
    <mergeCell ref="I77:J77"/>
    <mergeCell ref="K77:L77"/>
    <mergeCell ref="M77:N77"/>
    <mergeCell ref="S77:T77"/>
    <mergeCell ref="A76:C76"/>
    <mergeCell ref="F76:G76"/>
    <mergeCell ref="I76:J76"/>
    <mergeCell ref="K76:L76"/>
    <mergeCell ref="M76:N76"/>
    <mergeCell ref="S76:T76"/>
    <mergeCell ref="A83:C83"/>
    <mergeCell ref="F83:G83"/>
    <mergeCell ref="I83:J83"/>
    <mergeCell ref="K83:L83"/>
    <mergeCell ref="M83:N83"/>
    <mergeCell ref="S83:T83"/>
    <mergeCell ref="A82:C82"/>
    <mergeCell ref="F82:G82"/>
    <mergeCell ref="I82:J82"/>
    <mergeCell ref="K82:L82"/>
    <mergeCell ref="M82:N82"/>
    <mergeCell ref="S82:T82"/>
    <mergeCell ref="A81:C81"/>
    <mergeCell ref="F81:G81"/>
    <mergeCell ref="I81:J81"/>
    <mergeCell ref="K81:L81"/>
    <mergeCell ref="M81:N81"/>
    <mergeCell ref="S81:T81"/>
    <mergeCell ref="N87:O87"/>
    <mergeCell ref="P87:Q87"/>
    <mergeCell ref="R87:T87"/>
    <mergeCell ref="V87:W87"/>
    <mergeCell ref="X87:Y87"/>
    <mergeCell ref="F88:I88"/>
    <mergeCell ref="A85:C85"/>
    <mergeCell ref="F85:G85"/>
    <mergeCell ref="I85:J85"/>
    <mergeCell ref="K85:L85"/>
    <mergeCell ref="M85:N85"/>
    <mergeCell ref="S85:T85"/>
    <mergeCell ref="A84:C84"/>
    <mergeCell ref="F84:G84"/>
    <mergeCell ref="I84:J84"/>
    <mergeCell ref="K84:L84"/>
    <mergeCell ref="M84:N84"/>
    <mergeCell ref="S84:T84"/>
    <mergeCell ref="A91:C91"/>
    <mergeCell ref="F91:G91"/>
    <mergeCell ref="I91:J91"/>
    <mergeCell ref="K91:L91"/>
    <mergeCell ref="M91:N91"/>
    <mergeCell ref="S91:T91"/>
    <mergeCell ref="A90:C90"/>
    <mergeCell ref="F90:G90"/>
    <mergeCell ref="I90:J90"/>
    <mergeCell ref="K90:L90"/>
    <mergeCell ref="M90:N90"/>
    <mergeCell ref="S90:T90"/>
    <mergeCell ref="A89:C89"/>
    <mergeCell ref="F89:G89"/>
    <mergeCell ref="I89:J89"/>
    <mergeCell ref="K89:L89"/>
    <mergeCell ref="M89:N89"/>
    <mergeCell ref="S89:T89"/>
    <mergeCell ref="A94:C94"/>
    <mergeCell ref="F94:G94"/>
    <mergeCell ref="I94:J94"/>
    <mergeCell ref="K94:L94"/>
    <mergeCell ref="M94:N94"/>
    <mergeCell ref="S94:T94"/>
    <mergeCell ref="A93:C93"/>
    <mergeCell ref="F93:G93"/>
    <mergeCell ref="I93:J93"/>
    <mergeCell ref="K93:L93"/>
    <mergeCell ref="M93:N93"/>
    <mergeCell ref="S93:T93"/>
    <mergeCell ref="A92:C92"/>
    <mergeCell ref="F92:G92"/>
    <mergeCell ref="I92:J92"/>
    <mergeCell ref="K92:L92"/>
    <mergeCell ref="M92:N92"/>
    <mergeCell ref="S92:T92"/>
    <mergeCell ref="A97:C97"/>
    <mergeCell ref="F97:G97"/>
    <mergeCell ref="I97:J97"/>
    <mergeCell ref="K97:L97"/>
    <mergeCell ref="M97:N97"/>
    <mergeCell ref="S97:T97"/>
    <mergeCell ref="A96:C96"/>
    <mergeCell ref="F96:G96"/>
    <mergeCell ref="I96:J96"/>
    <mergeCell ref="K96:L96"/>
    <mergeCell ref="M96:N96"/>
    <mergeCell ref="S96:T96"/>
    <mergeCell ref="A95:C95"/>
    <mergeCell ref="F95:G95"/>
    <mergeCell ref="I95:J95"/>
    <mergeCell ref="K95:L95"/>
    <mergeCell ref="M95:N95"/>
    <mergeCell ref="S95:T95"/>
    <mergeCell ref="A102:C102"/>
    <mergeCell ref="F102:G102"/>
    <mergeCell ref="I102:J102"/>
    <mergeCell ref="K102:L102"/>
    <mergeCell ref="M102:N102"/>
    <mergeCell ref="S102:T102"/>
    <mergeCell ref="A101:C101"/>
    <mergeCell ref="F101:G101"/>
    <mergeCell ref="I101:J101"/>
    <mergeCell ref="K101:L101"/>
    <mergeCell ref="M101:N101"/>
    <mergeCell ref="S101:T101"/>
    <mergeCell ref="N99:O99"/>
    <mergeCell ref="P99:Q99"/>
    <mergeCell ref="R99:T99"/>
    <mergeCell ref="V99:W99"/>
    <mergeCell ref="X99:Y99"/>
    <mergeCell ref="F100:I100"/>
    <mergeCell ref="A105:C105"/>
    <mergeCell ref="F105:G105"/>
    <mergeCell ref="I105:J105"/>
    <mergeCell ref="K105:L105"/>
    <mergeCell ref="M105:N105"/>
    <mergeCell ref="S105:T105"/>
    <mergeCell ref="A104:C104"/>
    <mergeCell ref="F104:G104"/>
    <mergeCell ref="I104:J104"/>
    <mergeCell ref="K104:L104"/>
    <mergeCell ref="M104:N104"/>
    <mergeCell ref="S104:T104"/>
    <mergeCell ref="A103:C103"/>
    <mergeCell ref="F103:G103"/>
    <mergeCell ref="I103:J103"/>
    <mergeCell ref="K103:L103"/>
    <mergeCell ref="M103:N103"/>
    <mergeCell ref="S103:T103"/>
    <mergeCell ref="A110:C110"/>
    <mergeCell ref="F110:G110"/>
    <mergeCell ref="I110:J110"/>
    <mergeCell ref="K110:L110"/>
    <mergeCell ref="M110:N110"/>
    <mergeCell ref="S110:T110"/>
    <mergeCell ref="N108:O108"/>
    <mergeCell ref="P108:Q108"/>
    <mergeCell ref="R108:T108"/>
    <mergeCell ref="V108:W108"/>
    <mergeCell ref="X108:Y108"/>
    <mergeCell ref="F109:I109"/>
    <mergeCell ref="A106:C106"/>
    <mergeCell ref="F106:G106"/>
    <mergeCell ref="I106:J106"/>
    <mergeCell ref="K106:L106"/>
    <mergeCell ref="M106:N106"/>
    <mergeCell ref="S106:T106"/>
    <mergeCell ref="A113:C113"/>
    <mergeCell ref="F113:G113"/>
    <mergeCell ref="I113:J113"/>
    <mergeCell ref="K113:L113"/>
    <mergeCell ref="M113:N113"/>
    <mergeCell ref="S113:T113"/>
    <mergeCell ref="A112:C112"/>
    <mergeCell ref="F112:G112"/>
    <mergeCell ref="I112:J112"/>
    <mergeCell ref="K112:L112"/>
    <mergeCell ref="M112:N112"/>
    <mergeCell ref="S112:T112"/>
    <mergeCell ref="A111:C111"/>
    <mergeCell ref="F111:G111"/>
    <mergeCell ref="I111:J111"/>
    <mergeCell ref="K111:L111"/>
    <mergeCell ref="M111:N111"/>
    <mergeCell ref="S111:T111"/>
    <mergeCell ref="A118:C118"/>
    <mergeCell ref="F118:G118"/>
    <mergeCell ref="I118:J118"/>
    <mergeCell ref="K118:L118"/>
    <mergeCell ref="M118:N118"/>
    <mergeCell ref="S118:T118"/>
    <mergeCell ref="A117:C117"/>
    <mergeCell ref="F117:G117"/>
    <mergeCell ref="I117:J117"/>
    <mergeCell ref="K117:L117"/>
    <mergeCell ref="M117:N117"/>
    <mergeCell ref="S117:T117"/>
    <mergeCell ref="N115:O115"/>
    <mergeCell ref="P115:Q115"/>
    <mergeCell ref="R115:T115"/>
    <mergeCell ref="V115:W115"/>
    <mergeCell ref="X115:Y115"/>
    <mergeCell ref="F116:I116"/>
    <mergeCell ref="A121:C121"/>
    <mergeCell ref="F121:G121"/>
    <mergeCell ref="I121:J121"/>
    <mergeCell ref="K121:L121"/>
    <mergeCell ref="M121:N121"/>
    <mergeCell ref="S121:T121"/>
    <mergeCell ref="A120:C120"/>
    <mergeCell ref="F120:G120"/>
    <mergeCell ref="I120:J120"/>
    <mergeCell ref="K120:L120"/>
    <mergeCell ref="M120:N120"/>
    <mergeCell ref="S120:T120"/>
    <mergeCell ref="A119:C119"/>
    <mergeCell ref="F119:G119"/>
    <mergeCell ref="I119:J119"/>
    <mergeCell ref="K119:L119"/>
    <mergeCell ref="M119:N119"/>
    <mergeCell ref="S119:T119"/>
    <mergeCell ref="A124:C124"/>
    <mergeCell ref="F124:G124"/>
    <mergeCell ref="I124:J124"/>
    <mergeCell ref="K124:L124"/>
    <mergeCell ref="M124:N124"/>
    <mergeCell ref="S124:T124"/>
    <mergeCell ref="A123:C123"/>
    <mergeCell ref="F123:G123"/>
    <mergeCell ref="I123:J123"/>
    <mergeCell ref="K123:L123"/>
    <mergeCell ref="M123:N123"/>
    <mergeCell ref="S123:T123"/>
    <mergeCell ref="A122:C122"/>
    <mergeCell ref="F122:G122"/>
    <mergeCell ref="I122:J122"/>
    <mergeCell ref="K122:L122"/>
    <mergeCell ref="M122:N122"/>
    <mergeCell ref="S122:T122"/>
    <mergeCell ref="A127:C127"/>
    <mergeCell ref="F127:G127"/>
    <mergeCell ref="I127:J127"/>
    <mergeCell ref="K127:L127"/>
    <mergeCell ref="M127:N127"/>
    <mergeCell ref="S127:T127"/>
    <mergeCell ref="A126:C126"/>
    <mergeCell ref="F126:G126"/>
    <mergeCell ref="I126:J126"/>
    <mergeCell ref="K126:L126"/>
    <mergeCell ref="M126:N126"/>
    <mergeCell ref="S126:T126"/>
    <mergeCell ref="A125:C125"/>
    <mergeCell ref="F125:G125"/>
    <mergeCell ref="I125:J125"/>
    <mergeCell ref="K125:L125"/>
    <mergeCell ref="M125:N125"/>
    <mergeCell ref="S125:T125"/>
    <mergeCell ref="A130:C130"/>
    <mergeCell ref="F130:G130"/>
    <mergeCell ref="I130:J130"/>
    <mergeCell ref="K130:L130"/>
    <mergeCell ref="M130:N130"/>
    <mergeCell ref="S130:T130"/>
    <mergeCell ref="A129:C129"/>
    <mergeCell ref="F129:G129"/>
    <mergeCell ref="I129:J129"/>
    <mergeCell ref="K129:L129"/>
    <mergeCell ref="M129:N129"/>
    <mergeCell ref="S129:T129"/>
    <mergeCell ref="A128:C128"/>
    <mergeCell ref="F128:G128"/>
    <mergeCell ref="I128:J128"/>
    <mergeCell ref="K128:L128"/>
    <mergeCell ref="M128:N128"/>
    <mergeCell ref="S128:T128"/>
    <mergeCell ref="A133:C133"/>
    <mergeCell ref="F133:G133"/>
    <mergeCell ref="I133:J133"/>
    <mergeCell ref="K133:L133"/>
    <mergeCell ref="M133:N133"/>
    <mergeCell ref="S133:T133"/>
    <mergeCell ref="A132:C132"/>
    <mergeCell ref="F132:G132"/>
    <mergeCell ref="I132:J132"/>
    <mergeCell ref="K132:L132"/>
    <mergeCell ref="M132:N132"/>
    <mergeCell ref="S132:T132"/>
    <mergeCell ref="A131:C131"/>
    <mergeCell ref="F131:G131"/>
    <mergeCell ref="I131:J131"/>
    <mergeCell ref="K131:L131"/>
    <mergeCell ref="M131:N131"/>
    <mergeCell ref="S131:T131"/>
    <mergeCell ref="N137:O137"/>
    <mergeCell ref="P137:Q137"/>
    <mergeCell ref="R137:T137"/>
    <mergeCell ref="V137:W137"/>
    <mergeCell ref="X137:Y137"/>
    <mergeCell ref="F138:I138"/>
    <mergeCell ref="A135:C135"/>
    <mergeCell ref="F135:G135"/>
    <mergeCell ref="I135:J135"/>
    <mergeCell ref="K135:L135"/>
    <mergeCell ref="M135:N135"/>
    <mergeCell ref="S135:T135"/>
    <mergeCell ref="A134:C134"/>
    <mergeCell ref="F134:G134"/>
    <mergeCell ref="I134:J134"/>
    <mergeCell ref="K134:L134"/>
    <mergeCell ref="M134:N134"/>
    <mergeCell ref="S134:T134"/>
    <mergeCell ref="A141:C141"/>
    <mergeCell ref="F141:G141"/>
    <mergeCell ref="I141:J141"/>
    <mergeCell ref="K141:L141"/>
    <mergeCell ref="M141:N141"/>
    <mergeCell ref="S141:T141"/>
    <mergeCell ref="A140:C140"/>
    <mergeCell ref="F140:G140"/>
    <mergeCell ref="I140:J140"/>
    <mergeCell ref="K140:L140"/>
    <mergeCell ref="M140:N140"/>
    <mergeCell ref="S140:T140"/>
    <mergeCell ref="A139:C139"/>
    <mergeCell ref="F139:G139"/>
    <mergeCell ref="I139:J139"/>
    <mergeCell ref="K139:L139"/>
    <mergeCell ref="M139:N139"/>
    <mergeCell ref="S139:T139"/>
    <mergeCell ref="A144:C144"/>
    <mergeCell ref="F144:G144"/>
    <mergeCell ref="I144:J144"/>
    <mergeCell ref="K144:L144"/>
    <mergeCell ref="M144:N144"/>
    <mergeCell ref="S144:T144"/>
    <mergeCell ref="A143:C143"/>
    <mergeCell ref="F143:G143"/>
    <mergeCell ref="I143:J143"/>
    <mergeCell ref="K143:L143"/>
    <mergeCell ref="M143:N143"/>
    <mergeCell ref="S143:T143"/>
    <mergeCell ref="A142:C142"/>
    <mergeCell ref="F142:G142"/>
    <mergeCell ref="I142:J142"/>
    <mergeCell ref="K142:L142"/>
    <mergeCell ref="M142:N142"/>
    <mergeCell ref="S142:T142"/>
    <mergeCell ref="N148:O148"/>
    <mergeCell ref="P148:Q148"/>
    <mergeCell ref="R148:T148"/>
    <mergeCell ref="V148:W148"/>
    <mergeCell ref="X148:Y148"/>
    <mergeCell ref="F149:I149"/>
    <mergeCell ref="A146:C146"/>
    <mergeCell ref="F146:G146"/>
    <mergeCell ref="I146:J146"/>
    <mergeCell ref="K146:L146"/>
    <mergeCell ref="M146:N146"/>
    <mergeCell ref="S146:T146"/>
    <mergeCell ref="A145:C145"/>
    <mergeCell ref="F145:G145"/>
    <mergeCell ref="I145:J145"/>
    <mergeCell ref="K145:L145"/>
    <mergeCell ref="M145:N145"/>
    <mergeCell ref="S145:T145"/>
    <mergeCell ref="A152:C152"/>
    <mergeCell ref="F152:G152"/>
    <mergeCell ref="I152:J152"/>
    <mergeCell ref="K152:L152"/>
    <mergeCell ref="M152:N152"/>
    <mergeCell ref="S152:T152"/>
    <mergeCell ref="A151:C151"/>
    <mergeCell ref="F151:G151"/>
    <mergeCell ref="I151:J151"/>
    <mergeCell ref="K151:L151"/>
    <mergeCell ref="M151:N151"/>
    <mergeCell ref="S151:T151"/>
    <mergeCell ref="A150:C150"/>
    <mergeCell ref="F150:G150"/>
    <mergeCell ref="I150:J150"/>
    <mergeCell ref="K150:L150"/>
    <mergeCell ref="M150:N150"/>
    <mergeCell ref="S150:T150"/>
    <mergeCell ref="A157:C157"/>
    <mergeCell ref="F157:G157"/>
    <mergeCell ref="I157:J157"/>
    <mergeCell ref="K157:L157"/>
    <mergeCell ref="M157:N157"/>
    <mergeCell ref="S157:T157"/>
    <mergeCell ref="N155:O155"/>
    <mergeCell ref="P155:Q155"/>
    <mergeCell ref="R155:T155"/>
    <mergeCell ref="V155:W155"/>
    <mergeCell ref="X155:Y155"/>
    <mergeCell ref="F156:I156"/>
    <mergeCell ref="A153:C153"/>
    <mergeCell ref="F153:G153"/>
    <mergeCell ref="I153:J153"/>
    <mergeCell ref="K153:L153"/>
    <mergeCell ref="M153:N153"/>
    <mergeCell ref="S153:T153"/>
    <mergeCell ref="A160:C160"/>
    <mergeCell ref="F160:G160"/>
    <mergeCell ref="I160:J160"/>
    <mergeCell ref="K160:L160"/>
    <mergeCell ref="M160:N160"/>
    <mergeCell ref="S160:T160"/>
    <mergeCell ref="A159:C159"/>
    <mergeCell ref="F159:G159"/>
    <mergeCell ref="I159:J159"/>
    <mergeCell ref="K159:L159"/>
    <mergeCell ref="M159:N159"/>
    <mergeCell ref="S159:T159"/>
    <mergeCell ref="A158:C158"/>
    <mergeCell ref="F158:G158"/>
    <mergeCell ref="I158:J158"/>
    <mergeCell ref="K158:L158"/>
    <mergeCell ref="M158:N158"/>
    <mergeCell ref="S158:T158"/>
    <mergeCell ref="A163:C163"/>
    <mergeCell ref="F163:G163"/>
    <mergeCell ref="I163:J163"/>
    <mergeCell ref="K163:L163"/>
    <mergeCell ref="M163:N163"/>
    <mergeCell ref="S163:T163"/>
    <mergeCell ref="A162:C162"/>
    <mergeCell ref="F162:G162"/>
    <mergeCell ref="I162:J162"/>
    <mergeCell ref="K162:L162"/>
    <mergeCell ref="M162:N162"/>
    <mergeCell ref="S162:T162"/>
    <mergeCell ref="A161:C161"/>
    <mergeCell ref="F161:G161"/>
    <mergeCell ref="I161:J161"/>
    <mergeCell ref="K161:L161"/>
    <mergeCell ref="M161:N161"/>
    <mergeCell ref="S161:T161"/>
    <mergeCell ref="A166:C166"/>
    <mergeCell ref="F166:G166"/>
    <mergeCell ref="I166:J166"/>
    <mergeCell ref="K166:L166"/>
    <mergeCell ref="M166:N166"/>
    <mergeCell ref="S166:T166"/>
    <mergeCell ref="A165:C165"/>
    <mergeCell ref="F165:G165"/>
    <mergeCell ref="I165:J165"/>
    <mergeCell ref="K165:L165"/>
    <mergeCell ref="M165:N165"/>
    <mergeCell ref="S165:T165"/>
    <mergeCell ref="A164:C164"/>
    <mergeCell ref="F164:G164"/>
    <mergeCell ref="I164:J164"/>
    <mergeCell ref="K164:L164"/>
    <mergeCell ref="M164:N164"/>
    <mergeCell ref="S164:T164"/>
    <mergeCell ref="A169:C169"/>
    <mergeCell ref="F169:G169"/>
    <mergeCell ref="I169:J169"/>
    <mergeCell ref="K169:L169"/>
    <mergeCell ref="M169:N169"/>
    <mergeCell ref="S169:T169"/>
    <mergeCell ref="A168:C168"/>
    <mergeCell ref="F168:G168"/>
    <mergeCell ref="I168:J168"/>
    <mergeCell ref="K168:L168"/>
    <mergeCell ref="M168:N168"/>
    <mergeCell ref="S168:T168"/>
    <mergeCell ref="A167:C167"/>
    <mergeCell ref="F167:G167"/>
    <mergeCell ref="I167:J167"/>
    <mergeCell ref="K167:L167"/>
    <mergeCell ref="M167:N167"/>
    <mergeCell ref="S167:T167"/>
    <mergeCell ref="A172:C172"/>
    <mergeCell ref="F172:G172"/>
    <mergeCell ref="I172:J172"/>
    <mergeCell ref="K172:L172"/>
    <mergeCell ref="M172:N172"/>
    <mergeCell ref="S172:T172"/>
    <mergeCell ref="A171:C171"/>
    <mergeCell ref="F171:G171"/>
    <mergeCell ref="I171:J171"/>
    <mergeCell ref="K171:L171"/>
    <mergeCell ref="M171:N171"/>
    <mergeCell ref="S171:T171"/>
    <mergeCell ref="A170:C170"/>
    <mergeCell ref="F170:G170"/>
    <mergeCell ref="I170:J170"/>
    <mergeCell ref="K170:L170"/>
    <mergeCell ref="M170:N170"/>
    <mergeCell ref="S170:T170"/>
    <mergeCell ref="A175:C175"/>
    <mergeCell ref="F175:G175"/>
    <mergeCell ref="I175:J175"/>
    <mergeCell ref="K175:L175"/>
    <mergeCell ref="M175:N175"/>
    <mergeCell ref="S175:T175"/>
    <mergeCell ref="A174:C174"/>
    <mergeCell ref="F174:G174"/>
    <mergeCell ref="I174:J174"/>
    <mergeCell ref="K174:L174"/>
    <mergeCell ref="M174:N174"/>
    <mergeCell ref="S174:T174"/>
    <mergeCell ref="A173:C173"/>
    <mergeCell ref="F173:G173"/>
    <mergeCell ref="I173:J173"/>
    <mergeCell ref="K173:L173"/>
    <mergeCell ref="M173:N173"/>
    <mergeCell ref="S173:T173"/>
    <mergeCell ref="A178:C178"/>
    <mergeCell ref="F178:G178"/>
    <mergeCell ref="I178:J178"/>
    <mergeCell ref="K178:L178"/>
    <mergeCell ref="M178:N178"/>
    <mergeCell ref="S178:T178"/>
    <mergeCell ref="A177:C177"/>
    <mergeCell ref="F177:G177"/>
    <mergeCell ref="I177:J177"/>
    <mergeCell ref="K177:L177"/>
    <mergeCell ref="M177:N177"/>
    <mergeCell ref="S177:T177"/>
    <mergeCell ref="A176:C176"/>
    <mergeCell ref="F176:G176"/>
    <mergeCell ref="I176:J176"/>
    <mergeCell ref="K176:L176"/>
    <mergeCell ref="M176:N176"/>
    <mergeCell ref="S176:T176"/>
    <mergeCell ref="A181:C181"/>
    <mergeCell ref="F181:G181"/>
    <mergeCell ref="I181:J181"/>
    <mergeCell ref="K181:L181"/>
    <mergeCell ref="M181:N181"/>
    <mergeCell ref="S181:T181"/>
    <mergeCell ref="A180:C180"/>
    <mergeCell ref="F180:G180"/>
    <mergeCell ref="I180:J180"/>
    <mergeCell ref="K180:L180"/>
    <mergeCell ref="M180:N180"/>
    <mergeCell ref="S180:T180"/>
    <mergeCell ref="A179:C179"/>
    <mergeCell ref="F179:G179"/>
    <mergeCell ref="I179:J179"/>
    <mergeCell ref="K179:L179"/>
    <mergeCell ref="M179:N179"/>
    <mergeCell ref="S179:T179"/>
    <mergeCell ref="A184:C184"/>
    <mergeCell ref="F184:G184"/>
    <mergeCell ref="I184:J184"/>
    <mergeCell ref="K184:L184"/>
    <mergeCell ref="M184:N184"/>
    <mergeCell ref="S184:T184"/>
    <mergeCell ref="A183:C183"/>
    <mergeCell ref="F183:G183"/>
    <mergeCell ref="I183:J183"/>
    <mergeCell ref="K183:L183"/>
    <mergeCell ref="M183:N183"/>
    <mergeCell ref="S183:T183"/>
    <mergeCell ref="A182:C182"/>
    <mergeCell ref="F182:G182"/>
    <mergeCell ref="I182:J182"/>
    <mergeCell ref="K182:L182"/>
    <mergeCell ref="M182:N182"/>
    <mergeCell ref="S182:T182"/>
    <mergeCell ref="A187:C187"/>
    <mergeCell ref="F187:G187"/>
    <mergeCell ref="I187:J187"/>
    <mergeCell ref="K187:L187"/>
    <mergeCell ref="M187:N187"/>
    <mergeCell ref="S187:T187"/>
    <mergeCell ref="A186:C186"/>
    <mergeCell ref="F186:G186"/>
    <mergeCell ref="I186:J186"/>
    <mergeCell ref="K186:L186"/>
    <mergeCell ref="M186:N186"/>
    <mergeCell ref="S186:T186"/>
    <mergeCell ref="A185:C185"/>
    <mergeCell ref="F185:G185"/>
    <mergeCell ref="I185:J185"/>
    <mergeCell ref="K185:L185"/>
    <mergeCell ref="M185:N185"/>
    <mergeCell ref="S185:T185"/>
    <mergeCell ref="A190:C190"/>
    <mergeCell ref="F190:G190"/>
    <mergeCell ref="I190:J190"/>
    <mergeCell ref="K190:L190"/>
    <mergeCell ref="M190:N190"/>
    <mergeCell ref="S190:T190"/>
    <mergeCell ref="A189:C189"/>
    <mergeCell ref="F189:G189"/>
    <mergeCell ref="I189:J189"/>
    <mergeCell ref="K189:L189"/>
    <mergeCell ref="M189:N189"/>
    <mergeCell ref="S189:T189"/>
    <mergeCell ref="A188:C188"/>
    <mergeCell ref="F188:G188"/>
    <mergeCell ref="I188:J188"/>
    <mergeCell ref="K188:L188"/>
    <mergeCell ref="M188:N188"/>
    <mergeCell ref="S188:T188"/>
    <mergeCell ref="A195:C195"/>
    <mergeCell ref="F195:G195"/>
    <mergeCell ref="I195:J195"/>
    <mergeCell ref="K195:L195"/>
    <mergeCell ref="M195:N195"/>
    <mergeCell ref="S195:T195"/>
    <mergeCell ref="N193:O193"/>
    <mergeCell ref="P193:Q193"/>
    <mergeCell ref="R193:T193"/>
    <mergeCell ref="V193:W193"/>
    <mergeCell ref="X193:Y193"/>
    <mergeCell ref="F194:I194"/>
    <mergeCell ref="A191:C191"/>
    <mergeCell ref="F191:G191"/>
    <mergeCell ref="I191:J191"/>
    <mergeCell ref="K191:L191"/>
    <mergeCell ref="M191:N191"/>
    <mergeCell ref="S191:T191"/>
    <mergeCell ref="A198:C198"/>
    <mergeCell ref="F198:G198"/>
    <mergeCell ref="I198:J198"/>
    <mergeCell ref="K198:L198"/>
    <mergeCell ref="M198:N198"/>
    <mergeCell ref="S198:T198"/>
    <mergeCell ref="A197:C197"/>
    <mergeCell ref="F197:G197"/>
    <mergeCell ref="I197:J197"/>
    <mergeCell ref="K197:L197"/>
    <mergeCell ref="M197:N197"/>
    <mergeCell ref="S197:T197"/>
    <mergeCell ref="A196:C196"/>
    <mergeCell ref="F196:G196"/>
    <mergeCell ref="I196:J196"/>
    <mergeCell ref="K196:L196"/>
    <mergeCell ref="M196:N196"/>
    <mergeCell ref="S196:T196"/>
    <mergeCell ref="A201:C201"/>
    <mergeCell ref="F201:G201"/>
    <mergeCell ref="I201:J201"/>
    <mergeCell ref="K201:L201"/>
    <mergeCell ref="M201:N201"/>
    <mergeCell ref="S201:T201"/>
    <mergeCell ref="A200:C200"/>
    <mergeCell ref="F200:G200"/>
    <mergeCell ref="I200:J200"/>
    <mergeCell ref="K200:L200"/>
    <mergeCell ref="M200:N200"/>
    <mergeCell ref="S200:T200"/>
    <mergeCell ref="A199:C199"/>
    <mergeCell ref="F199:G199"/>
    <mergeCell ref="I199:J199"/>
    <mergeCell ref="K199:L199"/>
    <mergeCell ref="M199:N199"/>
    <mergeCell ref="S199:T199"/>
    <mergeCell ref="A204:C204"/>
    <mergeCell ref="F204:G204"/>
    <mergeCell ref="I204:J204"/>
    <mergeCell ref="K204:L204"/>
    <mergeCell ref="M204:N204"/>
    <mergeCell ref="S204:T204"/>
    <mergeCell ref="A203:C203"/>
    <mergeCell ref="F203:G203"/>
    <mergeCell ref="I203:J203"/>
    <mergeCell ref="K203:L203"/>
    <mergeCell ref="M203:N203"/>
    <mergeCell ref="S203:T203"/>
    <mergeCell ref="A202:C202"/>
    <mergeCell ref="F202:G202"/>
    <mergeCell ref="I202:J202"/>
    <mergeCell ref="K202:L202"/>
    <mergeCell ref="M202:N202"/>
    <mergeCell ref="S202:T202"/>
    <mergeCell ref="A209:C209"/>
    <mergeCell ref="F209:G209"/>
    <mergeCell ref="I209:J209"/>
    <mergeCell ref="K209:L209"/>
    <mergeCell ref="M209:N209"/>
    <mergeCell ref="S209:T209"/>
    <mergeCell ref="A208:C208"/>
    <mergeCell ref="F208:G208"/>
    <mergeCell ref="I208:J208"/>
    <mergeCell ref="K208:L208"/>
    <mergeCell ref="M208:N208"/>
    <mergeCell ref="S208:T208"/>
    <mergeCell ref="N206:O206"/>
    <mergeCell ref="P206:Q206"/>
    <mergeCell ref="R206:T206"/>
    <mergeCell ref="V206:W206"/>
    <mergeCell ref="X206:Y206"/>
    <mergeCell ref="F207:I207"/>
    <mergeCell ref="A214:C214"/>
    <mergeCell ref="F214:G214"/>
    <mergeCell ref="I214:J214"/>
    <mergeCell ref="K214:L214"/>
    <mergeCell ref="M214:N214"/>
    <mergeCell ref="S214:T214"/>
    <mergeCell ref="N212:O212"/>
    <mergeCell ref="P212:Q212"/>
    <mergeCell ref="R212:T212"/>
    <mergeCell ref="V212:W212"/>
    <mergeCell ref="X212:Y212"/>
    <mergeCell ref="F213:I213"/>
    <mergeCell ref="A210:C210"/>
    <mergeCell ref="F210:G210"/>
    <mergeCell ref="I210:J210"/>
    <mergeCell ref="K210:L210"/>
    <mergeCell ref="M210:N210"/>
    <mergeCell ref="S210:T210"/>
    <mergeCell ref="A217:C217"/>
    <mergeCell ref="F217:G217"/>
    <mergeCell ref="I217:J217"/>
    <mergeCell ref="K217:L217"/>
    <mergeCell ref="M217:N217"/>
    <mergeCell ref="S217:T217"/>
    <mergeCell ref="A216:C216"/>
    <mergeCell ref="F216:G216"/>
    <mergeCell ref="I216:J216"/>
    <mergeCell ref="K216:L216"/>
    <mergeCell ref="M216:N216"/>
    <mergeCell ref="S216:T216"/>
    <mergeCell ref="A215:C215"/>
    <mergeCell ref="F215:G215"/>
    <mergeCell ref="I215:J215"/>
    <mergeCell ref="K215:L215"/>
    <mergeCell ref="M215:N215"/>
    <mergeCell ref="S215:T215"/>
    <mergeCell ref="N221:O221"/>
    <mergeCell ref="P221:Q221"/>
    <mergeCell ref="R221:T221"/>
    <mergeCell ref="V221:W221"/>
    <mergeCell ref="X221:Y221"/>
    <mergeCell ref="F222:I222"/>
    <mergeCell ref="A219:C219"/>
    <mergeCell ref="F219:G219"/>
    <mergeCell ref="I219:J219"/>
    <mergeCell ref="K219:L219"/>
    <mergeCell ref="M219:N219"/>
    <mergeCell ref="S219:T219"/>
    <mergeCell ref="A218:C218"/>
    <mergeCell ref="F218:G218"/>
    <mergeCell ref="I218:J218"/>
    <mergeCell ref="K218:L218"/>
    <mergeCell ref="M218:N218"/>
    <mergeCell ref="S218:T218"/>
    <mergeCell ref="N226:O226"/>
    <mergeCell ref="P226:Q226"/>
    <mergeCell ref="R226:T226"/>
    <mergeCell ref="V226:W226"/>
    <mergeCell ref="X226:Y226"/>
    <mergeCell ref="F227:I227"/>
    <mergeCell ref="A224:C224"/>
    <mergeCell ref="F224:G224"/>
    <mergeCell ref="I224:J224"/>
    <mergeCell ref="K224:L224"/>
    <mergeCell ref="M224:N224"/>
    <mergeCell ref="S224:T224"/>
    <mergeCell ref="A223:C223"/>
    <mergeCell ref="F223:G223"/>
    <mergeCell ref="I223:J223"/>
    <mergeCell ref="K223:L223"/>
    <mergeCell ref="M223:N223"/>
    <mergeCell ref="S223:T223"/>
    <mergeCell ref="A230:C230"/>
    <mergeCell ref="F230:G230"/>
    <mergeCell ref="I230:J230"/>
    <mergeCell ref="K230:L230"/>
    <mergeCell ref="M230:N230"/>
    <mergeCell ref="S230:T230"/>
    <mergeCell ref="A229:C229"/>
    <mergeCell ref="F229:G229"/>
    <mergeCell ref="I229:J229"/>
    <mergeCell ref="K229:L229"/>
    <mergeCell ref="M229:N229"/>
    <mergeCell ref="S229:T229"/>
    <mergeCell ref="A228:C228"/>
    <mergeCell ref="F228:G228"/>
    <mergeCell ref="I228:J228"/>
    <mergeCell ref="K228:L228"/>
    <mergeCell ref="M228:N228"/>
    <mergeCell ref="S228:T228"/>
    <mergeCell ref="A235:C235"/>
    <mergeCell ref="F235:G235"/>
    <mergeCell ref="I235:J235"/>
    <mergeCell ref="K235:L235"/>
    <mergeCell ref="M235:N235"/>
    <mergeCell ref="S235:T235"/>
    <mergeCell ref="A234:C234"/>
    <mergeCell ref="F234:G234"/>
    <mergeCell ref="I234:J234"/>
    <mergeCell ref="K234:L234"/>
    <mergeCell ref="M234:N234"/>
    <mergeCell ref="S234:T234"/>
    <mergeCell ref="N232:O232"/>
    <mergeCell ref="P232:Q232"/>
    <mergeCell ref="R232:T232"/>
    <mergeCell ref="V232:W232"/>
    <mergeCell ref="X232:Y232"/>
    <mergeCell ref="F233:I233"/>
    <mergeCell ref="A240:C240"/>
    <mergeCell ref="F240:G240"/>
    <mergeCell ref="I240:J240"/>
    <mergeCell ref="K240:L240"/>
    <mergeCell ref="M240:N240"/>
    <mergeCell ref="S240:T240"/>
    <mergeCell ref="A239:C239"/>
    <mergeCell ref="F239:G239"/>
    <mergeCell ref="I239:J239"/>
    <mergeCell ref="K239:L239"/>
    <mergeCell ref="M239:N239"/>
    <mergeCell ref="S239:T239"/>
    <mergeCell ref="N237:O237"/>
    <mergeCell ref="P237:Q237"/>
    <mergeCell ref="R237:T237"/>
    <mergeCell ref="V237:W237"/>
    <mergeCell ref="X237:Y237"/>
    <mergeCell ref="F238:I238"/>
    <mergeCell ref="A243:C243"/>
    <mergeCell ref="F243:G243"/>
    <mergeCell ref="I243:J243"/>
    <mergeCell ref="K243:L243"/>
    <mergeCell ref="M243:N243"/>
    <mergeCell ref="S243:T243"/>
    <mergeCell ref="A242:C242"/>
    <mergeCell ref="F242:G242"/>
    <mergeCell ref="I242:J242"/>
    <mergeCell ref="K242:L242"/>
    <mergeCell ref="M242:N242"/>
    <mergeCell ref="S242:T242"/>
    <mergeCell ref="A241:C241"/>
    <mergeCell ref="F241:G241"/>
    <mergeCell ref="I241:J241"/>
    <mergeCell ref="K241:L241"/>
    <mergeCell ref="M241:N241"/>
    <mergeCell ref="S241:T241"/>
    <mergeCell ref="A246:C246"/>
    <mergeCell ref="F246:G246"/>
    <mergeCell ref="I246:J246"/>
    <mergeCell ref="K246:L246"/>
    <mergeCell ref="M246:N246"/>
    <mergeCell ref="S246:T246"/>
    <mergeCell ref="A245:C245"/>
    <mergeCell ref="F245:G245"/>
    <mergeCell ref="I245:J245"/>
    <mergeCell ref="K245:L245"/>
    <mergeCell ref="M245:N245"/>
    <mergeCell ref="S245:T245"/>
    <mergeCell ref="A244:C244"/>
    <mergeCell ref="F244:G244"/>
    <mergeCell ref="I244:J244"/>
    <mergeCell ref="K244:L244"/>
    <mergeCell ref="M244:N244"/>
    <mergeCell ref="S244:T244"/>
    <mergeCell ref="A249:C249"/>
    <mergeCell ref="F249:G249"/>
    <mergeCell ref="I249:J249"/>
    <mergeCell ref="K249:L249"/>
    <mergeCell ref="M249:N249"/>
    <mergeCell ref="S249:T249"/>
    <mergeCell ref="A248:C248"/>
    <mergeCell ref="F248:G248"/>
    <mergeCell ref="I248:J248"/>
    <mergeCell ref="K248:L248"/>
    <mergeCell ref="M248:N248"/>
    <mergeCell ref="S248:T248"/>
    <mergeCell ref="A247:C247"/>
    <mergeCell ref="F247:G247"/>
    <mergeCell ref="I247:J247"/>
    <mergeCell ref="K247:L247"/>
    <mergeCell ref="M247:N247"/>
    <mergeCell ref="S247:T247"/>
    <mergeCell ref="A252:C252"/>
    <mergeCell ref="F252:G252"/>
    <mergeCell ref="I252:J252"/>
    <mergeCell ref="K252:L252"/>
    <mergeCell ref="M252:N252"/>
    <mergeCell ref="S252:T252"/>
    <mergeCell ref="A251:C251"/>
    <mergeCell ref="F251:G251"/>
    <mergeCell ref="I251:J251"/>
    <mergeCell ref="K251:L251"/>
    <mergeCell ref="M251:N251"/>
    <mergeCell ref="S251:T251"/>
    <mergeCell ref="A250:C250"/>
    <mergeCell ref="F250:G250"/>
    <mergeCell ref="I250:J250"/>
    <mergeCell ref="K250:L250"/>
    <mergeCell ref="M250:N250"/>
    <mergeCell ref="S250:T250"/>
    <mergeCell ref="A257:C257"/>
    <mergeCell ref="F257:G257"/>
    <mergeCell ref="I257:J257"/>
    <mergeCell ref="K257:L257"/>
    <mergeCell ref="M257:N257"/>
    <mergeCell ref="S257:T257"/>
    <mergeCell ref="A256:C256"/>
    <mergeCell ref="F256:G256"/>
    <mergeCell ref="I256:J256"/>
    <mergeCell ref="K256:L256"/>
    <mergeCell ref="M256:N256"/>
    <mergeCell ref="S256:T256"/>
    <mergeCell ref="N254:O254"/>
    <mergeCell ref="P254:Q254"/>
    <mergeCell ref="R254:T254"/>
    <mergeCell ref="V254:W254"/>
    <mergeCell ref="X254:Y254"/>
    <mergeCell ref="F255:I255"/>
    <mergeCell ref="A260:C260"/>
    <mergeCell ref="F260:G260"/>
    <mergeCell ref="I260:J260"/>
    <mergeCell ref="K260:L260"/>
    <mergeCell ref="M260:N260"/>
    <mergeCell ref="S260:T260"/>
    <mergeCell ref="A259:C259"/>
    <mergeCell ref="F259:G259"/>
    <mergeCell ref="I259:J259"/>
    <mergeCell ref="K259:L259"/>
    <mergeCell ref="M259:N259"/>
    <mergeCell ref="S259:T259"/>
    <mergeCell ref="A258:C258"/>
    <mergeCell ref="F258:G258"/>
    <mergeCell ref="I258:J258"/>
    <mergeCell ref="K258:L258"/>
    <mergeCell ref="M258:N258"/>
    <mergeCell ref="S258:T258"/>
    <mergeCell ref="A263:C263"/>
    <mergeCell ref="F263:G263"/>
    <mergeCell ref="I263:J263"/>
    <mergeCell ref="K263:L263"/>
    <mergeCell ref="M263:N263"/>
    <mergeCell ref="S263:T263"/>
    <mergeCell ref="A262:C262"/>
    <mergeCell ref="F262:G262"/>
    <mergeCell ref="I262:J262"/>
    <mergeCell ref="K262:L262"/>
    <mergeCell ref="M262:N262"/>
    <mergeCell ref="S262:T262"/>
    <mergeCell ref="A261:C261"/>
    <mergeCell ref="F261:G261"/>
    <mergeCell ref="I261:J261"/>
    <mergeCell ref="K261:L261"/>
    <mergeCell ref="M261:N261"/>
    <mergeCell ref="S261:T261"/>
    <mergeCell ref="A266:C266"/>
    <mergeCell ref="F266:G266"/>
    <mergeCell ref="I266:J266"/>
    <mergeCell ref="K266:L266"/>
    <mergeCell ref="M266:N266"/>
    <mergeCell ref="S266:T266"/>
    <mergeCell ref="A265:C265"/>
    <mergeCell ref="F265:G265"/>
    <mergeCell ref="I265:J265"/>
    <mergeCell ref="K265:L265"/>
    <mergeCell ref="M265:N265"/>
    <mergeCell ref="S265:T265"/>
    <mergeCell ref="A264:C264"/>
    <mergeCell ref="F264:G264"/>
    <mergeCell ref="I264:J264"/>
    <mergeCell ref="K264:L264"/>
    <mergeCell ref="M264:N264"/>
    <mergeCell ref="S264:T264"/>
    <mergeCell ref="A269:C269"/>
    <mergeCell ref="F269:G269"/>
    <mergeCell ref="I269:J269"/>
    <mergeCell ref="K269:L269"/>
    <mergeCell ref="M269:N269"/>
    <mergeCell ref="S269:T269"/>
    <mergeCell ref="A268:C268"/>
    <mergeCell ref="F268:G268"/>
    <mergeCell ref="I268:J268"/>
    <mergeCell ref="K268:L268"/>
    <mergeCell ref="M268:N268"/>
    <mergeCell ref="S268:T268"/>
    <mergeCell ref="A267:C267"/>
    <mergeCell ref="F267:G267"/>
    <mergeCell ref="I267:J267"/>
    <mergeCell ref="K267:L267"/>
    <mergeCell ref="M267:N267"/>
    <mergeCell ref="S267:T267"/>
    <mergeCell ref="A272:C272"/>
    <mergeCell ref="F272:G272"/>
    <mergeCell ref="I272:J272"/>
    <mergeCell ref="K272:L272"/>
    <mergeCell ref="M272:N272"/>
    <mergeCell ref="S272:T272"/>
    <mergeCell ref="A271:C271"/>
    <mergeCell ref="F271:G271"/>
    <mergeCell ref="I271:J271"/>
    <mergeCell ref="K271:L271"/>
    <mergeCell ref="M271:N271"/>
    <mergeCell ref="S271:T271"/>
    <mergeCell ref="A270:C270"/>
    <mergeCell ref="F270:G270"/>
    <mergeCell ref="I270:J270"/>
    <mergeCell ref="K270:L270"/>
    <mergeCell ref="M270:N270"/>
    <mergeCell ref="S270:T270"/>
    <mergeCell ref="A275:C275"/>
    <mergeCell ref="F275:G275"/>
    <mergeCell ref="I275:J275"/>
    <mergeCell ref="K275:L275"/>
    <mergeCell ref="M275:N275"/>
    <mergeCell ref="S275:T275"/>
    <mergeCell ref="A274:C274"/>
    <mergeCell ref="F274:G274"/>
    <mergeCell ref="I274:J274"/>
    <mergeCell ref="K274:L274"/>
    <mergeCell ref="M274:N274"/>
    <mergeCell ref="S274:T274"/>
    <mergeCell ref="A273:C273"/>
    <mergeCell ref="F273:G273"/>
    <mergeCell ref="I273:J273"/>
    <mergeCell ref="K273:L273"/>
    <mergeCell ref="M273:N273"/>
    <mergeCell ref="S273:T273"/>
    <mergeCell ref="A278:C278"/>
    <mergeCell ref="F278:G278"/>
    <mergeCell ref="I278:J278"/>
    <mergeCell ref="K278:L278"/>
    <mergeCell ref="M278:N278"/>
    <mergeCell ref="S278:T278"/>
    <mergeCell ref="A277:C277"/>
    <mergeCell ref="F277:G277"/>
    <mergeCell ref="I277:J277"/>
    <mergeCell ref="K277:L277"/>
    <mergeCell ref="M277:N277"/>
    <mergeCell ref="S277:T277"/>
    <mergeCell ref="A276:C276"/>
    <mergeCell ref="F276:G276"/>
    <mergeCell ref="I276:J276"/>
    <mergeCell ref="K276:L276"/>
    <mergeCell ref="M276:N276"/>
    <mergeCell ref="S276:T276"/>
    <mergeCell ref="A283:C283"/>
    <mergeCell ref="F283:G283"/>
    <mergeCell ref="I283:J283"/>
    <mergeCell ref="K283:L283"/>
    <mergeCell ref="M283:N283"/>
    <mergeCell ref="S283:T283"/>
    <mergeCell ref="A282:C282"/>
    <mergeCell ref="F282:G282"/>
    <mergeCell ref="I282:J282"/>
    <mergeCell ref="K282:L282"/>
    <mergeCell ref="M282:N282"/>
    <mergeCell ref="S282:T282"/>
    <mergeCell ref="N280:O280"/>
    <mergeCell ref="P280:Q280"/>
    <mergeCell ref="R280:T280"/>
    <mergeCell ref="V280:W280"/>
    <mergeCell ref="X280:Y280"/>
    <mergeCell ref="F281:I281"/>
    <mergeCell ref="A286:C286"/>
    <mergeCell ref="F286:G286"/>
    <mergeCell ref="I286:J286"/>
    <mergeCell ref="K286:L286"/>
    <mergeCell ref="M286:N286"/>
    <mergeCell ref="S286:T286"/>
    <mergeCell ref="A285:C285"/>
    <mergeCell ref="F285:G285"/>
    <mergeCell ref="I285:J285"/>
    <mergeCell ref="K285:L285"/>
    <mergeCell ref="M285:N285"/>
    <mergeCell ref="S285:T285"/>
    <mergeCell ref="A284:C284"/>
    <mergeCell ref="F284:G284"/>
    <mergeCell ref="I284:J284"/>
    <mergeCell ref="K284:L284"/>
    <mergeCell ref="M284:N284"/>
    <mergeCell ref="S284:T284"/>
    <mergeCell ref="N290:O290"/>
    <mergeCell ref="P290:Q290"/>
    <mergeCell ref="R290:T290"/>
    <mergeCell ref="V290:W290"/>
    <mergeCell ref="X290:Y290"/>
    <mergeCell ref="F291:I291"/>
    <mergeCell ref="A288:C288"/>
    <mergeCell ref="F288:G288"/>
    <mergeCell ref="I288:J288"/>
    <mergeCell ref="K288:L288"/>
    <mergeCell ref="M288:N288"/>
    <mergeCell ref="S288:T288"/>
    <mergeCell ref="A287:C287"/>
    <mergeCell ref="F287:G287"/>
    <mergeCell ref="I287:J287"/>
    <mergeCell ref="K287:L287"/>
    <mergeCell ref="M287:N287"/>
    <mergeCell ref="S287:T287"/>
    <mergeCell ref="A294:C294"/>
    <mergeCell ref="F294:G294"/>
    <mergeCell ref="I294:J294"/>
    <mergeCell ref="K294:L294"/>
    <mergeCell ref="M294:N294"/>
    <mergeCell ref="S294:T294"/>
    <mergeCell ref="A293:C293"/>
    <mergeCell ref="F293:G293"/>
    <mergeCell ref="I293:J293"/>
    <mergeCell ref="K293:L293"/>
    <mergeCell ref="M293:N293"/>
    <mergeCell ref="S293:T293"/>
    <mergeCell ref="A292:C292"/>
    <mergeCell ref="F292:G292"/>
    <mergeCell ref="I292:J292"/>
    <mergeCell ref="K292:L292"/>
    <mergeCell ref="M292:N292"/>
    <mergeCell ref="S292:T292"/>
    <mergeCell ref="A297:C297"/>
    <mergeCell ref="F297:G297"/>
    <mergeCell ref="I297:J297"/>
    <mergeCell ref="K297:L297"/>
    <mergeCell ref="M297:N297"/>
    <mergeCell ref="S297:T297"/>
    <mergeCell ref="A296:C296"/>
    <mergeCell ref="F296:G296"/>
    <mergeCell ref="I296:J296"/>
    <mergeCell ref="K296:L296"/>
    <mergeCell ref="M296:N296"/>
    <mergeCell ref="S296:T296"/>
    <mergeCell ref="A295:C295"/>
    <mergeCell ref="F295:G295"/>
    <mergeCell ref="I295:J295"/>
    <mergeCell ref="K295:L295"/>
    <mergeCell ref="M295:N295"/>
    <mergeCell ref="S295:T295"/>
    <mergeCell ref="A300:C300"/>
    <mergeCell ref="F300:G300"/>
    <mergeCell ref="I300:J300"/>
    <mergeCell ref="K300:L300"/>
    <mergeCell ref="M300:N300"/>
    <mergeCell ref="S300:T300"/>
    <mergeCell ref="A299:C299"/>
    <mergeCell ref="F299:G299"/>
    <mergeCell ref="I299:J299"/>
    <mergeCell ref="K299:L299"/>
    <mergeCell ref="M299:N299"/>
    <mergeCell ref="S299:T299"/>
    <mergeCell ref="A298:C298"/>
    <mergeCell ref="F298:G298"/>
    <mergeCell ref="I298:J298"/>
    <mergeCell ref="K298:L298"/>
    <mergeCell ref="M298:N298"/>
    <mergeCell ref="S298:T298"/>
    <mergeCell ref="A303:C303"/>
    <mergeCell ref="F303:G303"/>
    <mergeCell ref="I303:J303"/>
    <mergeCell ref="K303:L303"/>
    <mergeCell ref="M303:N303"/>
    <mergeCell ref="S303:T303"/>
    <mergeCell ref="A302:C302"/>
    <mergeCell ref="F302:G302"/>
    <mergeCell ref="I302:J302"/>
    <mergeCell ref="K302:L302"/>
    <mergeCell ref="M302:N302"/>
    <mergeCell ref="S302:T302"/>
    <mergeCell ref="A301:C301"/>
    <mergeCell ref="F301:G301"/>
    <mergeCell ref="I301:J301"/>
    <mergeCell ref="K301:L301"/>
    <mergeCell ref="M301:N301"/>
    <mergeCell ref="S301:T301"/>
    <mergeCell ref="A306:C306"/>
    <mergeCell ref="F306:G306"/>
    <mergeCell ref="I306:J306"/>
    <mergeCell ref="K306:L306"/>
    <mergeCell ref="M306:N306"/>
    <mergeCell ref="S306:T306"/>
    <mergeCell ref="A305:C305"/>
    <mergeCell ref="F305:G305"/>
    <mergeCell ref="I305:J305"/>
    <mergeCell ref="K305:L305"/>
    <mergeCell ref="M305:N305"/>
    <mergeCell ref="S305:T305"/>
    <mergeCell ref="A304:C304"/>
    <mergeCell ref="F304:G304"/>
    <mergeCell ref="I304:J304"/>
    <mergeCell ref="K304:L304"/>
    <mergeCell ref="M304:N304"/>
    <mergeCell ref="S304:T304"/>
    <mergeCell ref="A309:C309"/>
    <mergeCell ref="F309:G309"/>
    <mergeCell ref="I309:J309"/>
    <mergeCell ref="K309:L309"/>
    <mergeCell ref="M309:N309"/>
    <mergeCell ref="S309:T309"/>
    <mergeCell ref="A308:C308"/>
    <mergeCell ref="F308:G308"/>
    <mergeCell ref="I308:J308"/>
    <mergeCell ref="K308:L308"/>
    <mergeCell ref="M308:N308"/>
    <mergeCell ref="S308:T308"/>
    <mergeCell ref="A307:C307"/>
    <mergeCell ref="F307:G307"/>
    <mergeCell ref="I307:J307"/>
    <mergeCell ref="K307:L307"/>
    <mergeCell ref="M307:N307"/>
    <mergeCell ref="S307:T307"/>
    <mergeCell ref="A312:C312"/>
    <mergeCell ref="F312:G312"/>
    <mergeCell ref="I312:J312"/>
    <mergeCell ref="K312:L312"/>
    <mergeCell ref="M312:N312"/>
    <mergeCell ref="S312:T312"/>
    <mergeCell ref="A311:C311"/>
    <mergeCell ref="F311:G311"/>
    <mergeCell ref="I311:J311"/>
    <mergeCell ref="K311:L311"/>
    <mergeCell ref="M311:N311"/>
    <mergeCell ref="S311:T311"/>
    <mergeCell ref="A310:C310"/>
    <mergeCell ref="F310:G310"/>
    <mergeCell ref="I310:J310"/>
    <mergeCell ref="K310:L310"/>
    <mergeCell ref="M310:N310"/>
    <mergeCell ref="S310:T310"/>
    <mergeCell ref="A315:C315"/>
    <mergeCell ref="F315:G315"/>
    <mergeCell ref="I315:J315"/>
    <mergeCell ref="K315:L315"/>
    <mergeCell ref="M315:N315"/>
    <mergeCell ref="S315:T315"/>
    <mergeCell ref="A314:C314"/>
    <mergeCell ref="F314:G314"/>
    <mergeCell ref="I314:J314"/>
    <mergeCell ref="K314:L314"/>
    <mergeCell ref="M314:N314"/>
    <mergeCell ref="S314:T314"/>
    <mergeCell ref="A313:C313"/>
    <mergeCell ref="F313:G313"/>
    <mergeCell ref="I313:J313"/>
    <mergeCell ref="K313:L313"/>
    <mergeCell ref="M313:N313"/>
    <mergeCell ref="S313:T313"/>
    <mergeCell ref="A318:C318"/>
    <mergeCell ref="F318:G318"/>
    <mergeCell ref="I318:J318"/>
    <mergeCell ref="K318:L318"/>
    <mergeCell ref="M318:N318"/>
    <mergeCell ref="S318:T318"/>
    <mergeCell ref="A317:C317"/>
    <mergeCell ref="F317:G317"/>
    <mergeCell ref="I317:J317"/>
    <mergeCell ref="K317:L317"/>
    <mergeCell ref="M317:N317"/>
    <mergeCell ref="S317:T317"/>
    <mergeCell ref="A316:C316"/>
    <mergeCell ref="F316:G316"/>
    <mergeCell ref="I316:J316"/>
    <mergeCell ref="K316:L316"/>
    <mergeCell ref="M316:N316"/>
    <mergeCell ref="S316:T316"/>
    <mergeCell ref="A321:C321"/>
    <mergeCell ref="F321:G321"/>
    <mergeCell ref="I321:J321"/>
    <mergeCell ref="K321:L321"/>
    <mergeCell ref="M321:N321"/>
    <mergeCell ref="S321:T321"/>
    <mergeCell ref="A320:C320"/>
    <mergeCell ref="F320:G320"/>
    <mergeCell ref="I320:J320"/>
    <mergeCell ref="K320:L320"/>
    <mergeCell ref="M320:N320"/>
    <mergeCell ref="S320:T320"/>
    <mergeCell ref="A319:C319"/>
    <mergeCell ref="F319:G319"/>
    <mergeCell ref="I319:J319"/>
    <mergeCell ref="K319:L319"/>
    <mergeCell ref="M319:N319"/>
    <mergeCell ref="S319:T319"/>
    <mergeCell ref="A324:C324"/>
    <mergeCell ref="F324:G324"/>
    <mergeCell ref="I324:J324"/>
    <mergeCell ref="K324:L324"/>
    <mergeCell ref="M324:N324"/>
    <mergeCell ref="S324:T324"/>
    <mergeCell ref="A323:C323"/>
    <mergeCell ref="F323:G323"/>
    <mergeCell ref="I323:J323"/>
    <mergeCell ref="K323:L323"/>
    <mergeCell ref="M323:N323"/>
    <mergeCell ref="S323:T323"/>
    <mergeCell ref="A322:C322"/>
    <mergeCell ref="F322:G322"/>
    <mergeCell ref="I322:J322"/>
    <mergeCell ref="K322:L322"/>
    <mergeCell ref="M322:N322"/>
    <mergeCell ref="S322:T322"/>
    <mergeCell ref="A327:C327"/>
    <mergeCell ref="F327:G327"/>
    <mergeCell ref="I327:J327"/>
    <mergeCell ref="K327:L327"/>
    <mergeCell ref="M327:N327"/>
    <mergeCell ref="S327:T327"/>
    <mergeCell ref="A326:C326"/>
    <mergeCell ref="F326:G326"/>
    <mergeCell ref="I326:J326"/>
    <mergeCell ref="K326:L326"/>
    <mergeCell ref="M326:N326"/>
    <mergeCell ref="S326:T326"/>
    <mergeCell ref="A325:C325"/>
    <mergeCell ref="F325:G325"/>
    <mergeCell ref="I325:J325"/>
    <mergeCell ref="K325:L325"/>
    <mergeCell ref="M325:N325"/>
    <mergeCell ref="S325:T325"/>
    <mergeCell ref="N331:O331"/>
    <mergeCell ref="P331:Q331"/>
    <mergeCell ref="R331:T331"/>
    <mergeCell ref="V331:W331"/>
    <mergeCell ref="X331:Y331"/>
    <mergeCell ref="F332:I332"/>
    <mergeCell ref="A329:C329"/>
    <mergeCell ref="F329:G329"/>
    <mergeCell ref="I329:J329"/>
    <mergeCell ref="K329:L329"/>
    <mergeCell ref="M329:N329"/>
    <mergeCell ref="S329:T329"/>
    <mergeCell ref="A328:C328"/>
    <mergeCell ref="F328:G328"/>
    <mergeCell ref="I328:J328"/>
    <mergeCell ref="K328:L328"/>
    <mergeCell ref="M328:N328"/>
    <mergeCell ref="S328:T328"/>
    <mergeCell ref="A337:C337"/>
    <mergeCell ref="F337:G337"/>
    <mergeCell ref="I337:J337"/>
    <mergeCell ref="K337:L337"/>
    <mergeCell ref="M337:N337"/>
    <mergeCell ref="S337:T337"/>
    <mergeCell ref="N335:O335"/>
    <mergeCell ref="P335:Q335"/>
    <mergeCell ref="R335:T335"/>
    <mergeCell ref="V335:W335"/>
    <mergeCell ref="X335:Y335"/>
    <mergeCell ref="F336:I336"/>
    <mergeCell ref="A333:C333"/>
    <mergeCell ref="F333:G333"/>
    <mergeCell ref="I333:J333"/>
    <mergeCell ref="K333:L333"/>
    <mergeCell ref="M333:N333"/>
    <mergeCell ref="S333:T333"/>
    <mergeCell ref="A340:C340"/>
    <mergeCell ref="F340:G340"/>
    <mergeCell ref="I340:J340"/>
    <mergeCell ref="K340:L340"/>
    <mergeCell ref="M340:N340"/>
    <mergeCell ref="S340:T340"/>
    <mergeCell ref="A339:C339"/>
    <mergeCell ref="F339:G339"/>
    <mergeCell ref="I339:J339"/>
    <mergeCell ref="K339:L339"/>
    <mergeCell ref="M339:N339"/>
    <mergeCell ref="S339:T339"/>
    <mergeCell ref="A338:C338"/>
    <mergeCell ref="F338:G338"/>
    <mergeCell ref="I338:J338"/>
    <mergeCell ref="K338:L338"/>
    <mergeCell ref="M338:N338"/>
    <mergeCell ref="S338:T338"/>
    <mergeCell ref="A345:C345"/>
    <mergeCell ref="F345:G345"/>
    <mergeCell ref="I345:J345"/>
    <mergeCell ref="K345:L345"/>
    <mergeCell ref="M345:N345"/>
    <mergeCell ref="S345:T345"/>
    <mergeCell ref="N343:O343"/>
    <mergeCell ref="P343:Q343"/>
    <mergeCell ref="R343:T343"/>
    <mergeCell ref="V343:W343"/>
    <mergeCell ref="X343:Y343"/>
    <mergeCell ref="F344:I344"/>
    <mergeCell ref="A341:C341"/>
    <mergeCell ref="F341:G341"/>
    <mergeCell ref="I341:J341"/>
    <mergeCell ref="K341:L341"/>
    <mergeCell ref="M341:N341"/>
    <mergeCell ref="S341:T341"/>
    <mergeCell ref="N349:O349"/>
    <mergeCell ref="P349:Q349"/>
    <mergeCell ref="R349:T349"/>
    <mergeCell ref="V349:W349"/>
    <mergeCell ref="X349:Y349"/>
    <mergeCell ref="F350:I350"/>
    <mergeCell ref="A347:C347"/>
    <mergeCell ref="F347:G347"/>
    <mergeCell ref="I347:J347"/>
    <mergeCell ref="K347:L347"/>
    <mergeCell ref="M347:N347"/>
    <mergeCell ref="S347:T347"/>
    <mergeCell ref="A346:C346"/>
    <mergeCell ref="F346:G346"/>
    <mergeCell ref="I346:J346"/>
    <mergeCell ref="K346:L346"/>
    <mergeCell ref="M346:N346"/>
    <mergeCell ref="S346:T346"/>
    <mergeCell ref="A353:C353"/>
    <mergeCell ref="F353:G353"/>
    <mergeCell ref="I353:J353"/>
    <mergeCell ref="K353:L353"/>
    <mergeCell ref="M353:N353"/>
    <mergeCell ref="S353:T353"/>
    <mergeCell ref="A352:C352"/>
    <mergeCell ref="F352:G352"/>
    <mergeCell ref="I352:J352"/>
    <mergeCell ref="K352:L352"/>
    <mergeCell ref="M352:N352"/>
    <mergeCell ref="S352:T352"/>
    <mergeCell ref="A351:C351"/>
    <mergeCell ref="F351:G351"/>
    <mergeCell ref="I351:J351"/>
    <mergeCell ref="K351:L351"/>
    <mergeCell ref="M351:N351"/>
    <mergeCell ref="S351:T351"/>
    <mergeCell ref="A356:C356"/>
    <mergeCell ref="F356:G356"/>
    <mergeCell ref="I356:J356"/>
    <mergeCell ref="K356:L356"/>
    <mergeCell ref="M356:N356"/>
    <mergeCell ref="S356:T356"/>
    <mergeCell ref="A355:C355"/>
    <mergeCell ref="F355:G355"/>
    <mergeCell ref="I355:J355"/>
    <mergeCell ref="K355:L355"/>
    <mergeCell ref="M355:N355"/>
    <mergeCell ref="S355:T355"/>
    <mergeCell ref="A354:C354"/>
    <mergeCell ref="F354:G354"/>
    <mergeCell ref="I354:J354"/>
    <mergeCell ref="K354:L354"/>
    <mergeCell ref="M354:N354"/>
    <mergeCell ref="S354:T354"/>
    <mergeCell ref="A359:C359"/>
    <mergeCell ref="F359:G359"/>
    <mergeCell ref="I359:J359"/>
    <mergeCell ref="K359:L359"/>
    <mergeCell ref="M359:N359"/>
    <mergeCell ref="S359:T359"/>
    <mergeCell ref="A358:C358"/>
    <mergeCell ref="F358:G358"/>
    <mergeCell ref="I358:J358"/>
    <mergeCell ref="K358:L358"/>
    <mergeCell ref="M358:N358"/>
    <mergeCell ref="S358:T358"/>
    <mergeCell ref="A357:C357"/>
    <mergeCell ref="F357:G357"/>
    <mergeCell ref="I357:J357"/>
    <mergeCell ref="K357:L357"/>
    <mergeCell ref="M357:N357"/>
    <mergeCell ref="S357:T357"/>
    <mergeCell ref="A362:C362"/>
    <mergeCell ref="F362:G362"/>
    <mergeCell ref="I362:J362"/>
    <mergeCell ref="K362:L362"/>
    <mergeCell ref="M362:N362"/>
    <mergeCell ref="S362:T362"/>
    <mergeCell ref="A361:C361"/>
    <mergeCell ref="F361:G361"/>
    <mergeCell ref="I361:J361"/>
    <mergeCell ref="K361:L361"/>
    <mergeCell ref="M361:N361"/>
    <mergeCell ref="S361:T361"/>
    <mergeCell ref="A360:C360"/>
    <mergeCell ref="F360:G360"/>
    <mergeCell ref="I360:J360"/>
    <mergeCell ref="K360:L360"/>
    <mergeCell ref="M360:N360"/>
    <mergeCell ref="S360:T360"/>
    <mergeCell ref="A365:C365"/>
    <mergeCell ref="F365:G365"/>
    <mergeCell ref="I365:J365"/>
    <mergeCell ref="K365:L365"/>
    <mergeCell ref="M365:N365"/>
    <mergeCell ref="S365:T365"/>
    <mergeCell ref="A364:C364"/>
    <mergeCell ref="F364:G364"/>
    <mergeCell ref="I364:J364"/>
    <mergeCell ref="K364:L364"/>
    <mergeCell ref="M364:N364"/>
    <mergeCell ref="S364:T364"/>
    <mergeCell ref="A363:C363"/>
    <mergeCell ref="F363:G363"/>
    <mergeCell ref="I363:J363"/>
    <mergeCell ref="K363:L363"/>
    <mergeCell ref="M363:N363"/>
    <mergeCell ref="S363:T363"/>
    <mergeCell ref="A368:C368"/>
    <mergeCell ref="F368:G368"/>
    <mergeCell ref="I368:J368"/>
    <mergeCell ref="K368:L368"/>
    <mergeCell ref="M368:N368"/>
    <mergeCell ref="S368:T368"/>
    <mergeCell ref="A367:C367"/>
    <mergeCell ref="F367:G367"/>
    <mergeCell ref="I367:J367"/>
    <mergeCell ref="K367:L367"/>
    <mergeCell ref="M367:N367"/>
    <mergeCell ref="S367:T367"/>
    <mergeCell ref="A366:C366"/>
    <mergeCell ref="F366:G366"/>
    <mergeCell ref="I366:J366"/>
    <mergeCell ref="K366:L366"/>
    <mergeCell ref="M366:N366"/>
    <mergeCell ref="S366:T366"/>
    <mergeCell ref="A371:C371"/>
    <mergeCell ref="F371:G371"/>
    <mergeCell ref="I371:J371"/>
    <mergeCell ref="K371:L371"/>
    <mergeCell ref="M371:N371"/>
    <mergeCell ref="S371:T371"/>
    <mergeCell ref="A370:C370"/>
    <mergeCell ref="F370:G370"/>
    <mergeCell ref="I370:J370"/>
    <mergeCell ref="K370:L370"/>
    <mergeCell ref="M370:N370"/>
    <mergeCell ref="S370:T370"/>
    <mergeCell ref="A369:C369"/>
    <mergeCell ref="F369:G369"/>
    <mergeCell ref="I369:J369"/>
    <mergeCell ref="K369:L369"/>
    <mergeCell ref="M369:N369"/>
    <mergeCell ref="S369:T369"/>
    <mergeCell ref="A374:C374"/>
    <mergeCell ref="F374:G374"/>
    <mergeCell ref="I374:J374"/>
    <mergeCell ref="K374:L374"/>
    <mergeCell ref="M374:N374"/>
    <mergeCell ref="S374:T374"/>
    <mergeCell ref="A373:C373"/>
    <mergeCell ref="F373:G373"/>
    <mergeCell ref="I373:J373"/>
    <mergeCell ref="K373:L373"/>
    <mergeCell ref="M373:N373"/>
    <mergeCell ref="S373:T373"/>
    <mergeCell ref="A372:C372"/>
    <mergeCell ref="F372:G372"/>
    <mergeCell ref="I372:J372"/>
    <mergeCell ref="K372:L372"/>
    <mergeCell ref="M372:N372"/>
    <mergeCell ref="S372:T372"/>
    <mergeCell ref="A377:C377"/>
    <mergeCell ref="F377:G377"/>
    <mergeCell ref="I377:J377"/>
    <mergeCell ref="K377:L377"/>
    <mergeCell ref="M377:N377"/>
    <mergeCell ref="S377:T377"/>
    <mergeCell ref="A376:C376"/>
    <mergeCell ref="F376:G376"/>
    <mergeCell ref="I376:J376"/>
    <mergeCell ref="K376:L376"/>
    <mergeCell ref="M376:N376"/>
    <mergeCell ref="S376:T376"/>
    <mergeCell ref="A375:C375"/>
    <mergeCell ref="F375:G375"/>
    <mergeCell ref="I375:J375"/>
    <mergeCell ref="K375:L375"/>
    <mergeCell ref="M375:N375"/>
    <mergeCell ref="S375:T375"/>
    <mergeCell ref="A380:C380"/>
    <mergeCell ref="F380:G380"/>
    <mergeCell ref="I380:J380"/>
    <mergeCell ref="K380:L380"/>
    <mergeCell ref="M380:N380"/>
    <mergeCell ref="S380:T380"/>
    <mergeCell ref="A379:C379"/>
    <mergeCell ref="F379:G379"/>
    <mergeCell ref="I379:J379"/>
    <mergeCell ref="K379:L379"/>
    <mergeCell ref="M379:N379"/>
    <mergeCell ref="S379:T379"/>
    <mergeCell ref="A378:C378"/>
    <mergeCell ref="F378:G378"/>
    <mergeCell ref="I378:J378"/>
    <mergeCell ref="K378:L378"/>
    <mergeCell ref="M378:N378"/>
    <mergeCell ref="S378:T378"/>
    <mergeCell ref="A383:C383"/>
    <mergeCell ref="F383:G383"/>
    <mergeCell ref="I383:J383"/>
    <mergeCell ref="K383:L383"/>
    <mergeCell ref="M383:N383"/>
    <mergeCell ref="S383:T383"/>
    <mergeCell ref="A382:C382"/>
    <mergeCell ref="F382:G382"/>
    <mergeCell ref="I382:J382"/>
    <mergeCell ref="K382:L382"/>
    <mergeCell ref="M382:N382"/>
    <mergeCell ref="S382:T382"/>
    <mergeCell ref="A381:C381"/>
    <mergeCell ref="F381:G381"/>
    <mergeCell ref="I381:J381"/>
    <mergeCell ref="K381:L381"/>
    <mergeCell ref="M381:N381"/>
    <mergeCell ref="S381:T381"/>
    <mergeCell ref="A386:C386"/>
    <mergeCell ref="F386:G386"/>
    <mergeCell ref="I386:J386"/>
    <mergeCell ref="K386:L386"/>
    <mergeCell ref="M386:N386"/>
    <mergeCell ref="S386:T386"/>
    <mergeCell ref="A385:C385"/>
    <mergeCell ref="F385:G385"/>
    <mergeCell ref="I385:J385"/>
    <mergeCell ref="K385:L385"/>
    <mergeCell ref="M385:N385"/>
    <mergeCell ref="S385:T385"/>
    <mergeCell ref="A384:C384"/>
    <mergeCell ref="F384:G384"/>
    <mergeCell ref="I384:J384"/>
    <mergeCell ref="K384:L384"/>
    <mergeCell ref="M384:N384"/>
    <mergeCell ref="S384:T384"/>
    <mergeCell ref="A389:C389"/>
    <mergeCell ref="F389:G389"/>
    <mergeCell ref="I389:J389"/>
    <mergeCell ref="K389:L389"/>
    <mergeCell ref="M389:N389"/>
    <mergeCell ref="S389:T389"/>
    <mergeCell ref="A388:C388"/>
    <mergeCell ref="F388:G388"/>
    <mergeCell ref="I388:J388"/>
    <mergeCell ref="K388:L388"/>
    <mergeCell ref="M388:N388"/>
    <mergeCell ref="S388:T388"/>
    <mergeCell ref="A387:C387"/>
    <mergeCell ref="F387:G387"/>
    <mergeCell ref="I387:J387"/>
    <mergeCell ref="K387:L387"/>
    <mergeCell ref="M387:N387"/>
    <mergeCell ref="S387:T387"/>
    <mergeCell ref="A392:C392"/>
    <mergeCell ref="F392:G392"/>
    <mergeCell ref="I392:J392"/>
    <mergeCell ref="K392:L392"/>
    <mergeCell ref="M392:N392"/>
    <mergeCell ref="S392:T392"/>
    <mergeCell ref="A391:C391"/>
    <mergeCell ref="F391:G391"/>
    <mergeCell ref="I391:J391"/>
    <mergeCell ref="K391:L391"/>
    <mergeCell ref="M391:N391"/>
    <mergeCell ref="S391:T391"/>
    <mergeCell ref="A390:C390"/>
    <mergeCell ref="F390:G390"/>
    <mergeCell ref="I390:J390"/>
    <mergeCell ref="K390:L390"/>
    <mergeCell ref="M390:N390"/>
    <mergeCell ref="S390:T390"/>
    <mergeCell ref="A395:C395"/>
    <mergeCell ref="F395:G395"/>
    <mergeCell ref="I395:J395"/>
    <mergeCell ref="K395:L395"/>
    <mergeCell ref="M395:N395"/>
    <mergeCell ref="S395:T395"/>
    <mergeCell ref="A394:C394"/>
    <mergeCell ref="F394:G394"/>
    <mergeCell ref="I394:J394"/>
    <mergeCell ref="K394:L394"/>
    <mergeCell ref="M394:N394"/>
    <mergeCell ref="S394:T394"/>
    <mergeCell ref="A393:C393"/>
    <mergeCell ref="F393:G393"/>
    <mergeCell ref="I393:J393"/>
    <mergeCell ref="K393:L393"/>
    <mergeCell ref="M393:N393"/>
    <mergeCell ref="S393:T393"/>
    <mergeCell ref="A398:C398"/>
    <mergeCell ref="F398:G398"/>
    <mergeCell ref="I398:J398"/>
    <mergeCell ref="K398:L398"/>
    <mergeCell ref="M398:N398"/>
    <mergeCell ref="S398:T398"/>
    <mergeCell ref="A397:C397"/>
    <mergeCell ref="F397:G397"/>
    <mergeCell ref="I397:J397"/>
    <mergeCell ref="K397:L397"/>
    <mergeCell ref="M397:N397"/>
    <mergeCell ref="S397:T397"/>
    <mergeCell ref="A396:C396"/>
    <mergeCell ref="F396:G396"/>
    <mergeCell ref="I396:J396"/>
    <mergeCell ref="K396:L396"/>
    <mergeCell ref="M396:N396"/>
    <mergeCell ref="S396:T396"/>
    <mergeCell ref="A401:C401"/>
    <mergeCell ref="F401:G401"/>
    <mergeCell ref="I401:J401"/>
    <mergeCell ref="K401:L401"/>
    <mergeCell ref="M401:N401"/>
    <mergeCell ref="S401:T401"/>
    <mergeCell ref="A400:C400"/>
    <mergeCell ref="F400:G400"/>
    <mergeCell ref="I400:J400"/>
    <mergeCell ref="K400:L400"/>
    <mergeCell ref="M400:N400"/>
    <mergeCell ref="S400:T400"/>
    <mergeCell ref="A399:C399"/>
    <mergeCell ref="F399:G399"/>
    <mergeCell ref="I399:J399"/>
    <mergeCell ref="K399:L399"/>
    <mergeCell ref="M399:N399"/>
    <mergeCell ref="S399:T399"/>
    <mergeCell ref="A404:C404"/>
    <mergeCell ref="F404:G404"/>
    <mergeCell ref="I404:J404"/>
    <mergeCell ref="K404:L404"/>
    <mergeCell ref="M404:N404"/>
    <mergeCell ref="S404:T404"/>
    <mergeCell ref="A403:C403"/>
    <mergeCell ref="F403:G403"/>
    <mergeCell ref="I403:J403"/>
    <mergeCell ref="K403:L403"/>
    <mergeCell ref="M403:N403"/>
    <mergeCell ref="S403:T403"/>
    <mergeCell ref="A402:C402"/>
    <mergeCell ref="F402:G402"/>
    <mergeCell ref="I402:J402"/>
    <mergeCell ref="K402:L402"/>
    <mergeCell ref="M402:N402"/>
    <mergeCell ref="S402:T402"/>
    <mergeCell ref="A409:C409"/>
    <mergeCell ref="F409:G409"/>
    <mergeCell ref="I409:J409"/>
    <mergeCell ref="K409:L409"/>
    <mergeCell ref="M409:N409"/>
    <mergeCell ref="S409:T409"/>
    <mergeCell ref="A408:C408"/>
    <mergeCell ref="F408:G408"/>
    <mergeCell ref="I408:J408"/>
    <mergeCell ref="K408:L408"/>
    <mergeCell ref="M408:N408"/>
    <mergeCell ref="S408:T408"/>
    <mergeCell ref="N406:O406"/>
    <mergeCell ref="P406:Q406"/>
    <mergeCell ref="R406:T406"/>
    <mergeCell ref="V406:W406"/>
    <mergeCell ref="X406:Y406"/>
    <mergeCell ref="F407:I407"/>
    <mergeCell ref="A412:C412"/>
    <mergeCell ref="F412:G412"/>
    <mergeCell ref="I412:J412"/>
    <mergeCell ref="K412:L412"/>
    <mergeCell ref="M412:N412"/>
    <mergeCell ref="S412:T412"/>
    <mergeCell ref="A411:C411"/>
    <mergeCell ref="F411:G411"/>
    <mergeCell ref="I411:J411"/>
    <mergeCell ref="K411:L411"/>
    <mergeCell ref="M411:N411"/>
    <mergeCell ref="S411:T411"/>
    <mergeCell ref="A410:C410"/>
    <mergeCell ref="F410:G410"/>
    <mergeCell ref="I410:J410"/>
    <mergeCell ref="K410:L410"/>
    <mergeCell ref="M410:N410"/>
    <mergeCell ref="S410:T410"/>
    <mergeCell ref="A415:C415"/>
    <mergeCell ref="F415:G415"/>
    <mergeCell ref="I415:J415"/>
    <mergeCell ref="K415:L415"/>
    <mergeCell ref="M415:N415"/>
    <mergeCell ref="S415:T415"/>
    <mergeCell ref="A414:C414"/>
    <mergeCell ref="F414:G414"/>
    <mergeCell ref="I414:J414"/>
    <mergeCell ref="K414:L414"/>
    <mergeCell ref="M414:N414"/>
    <mergeCell ref="S414:T414"/>
    <mergeCell ref="A413:C413"/>
    <mergeCell ref="F413:G413"/>
    <mergeCell ref="I413:J413"/>
    <mergeCell ref="K413:L413"/>
    <mergeCell ref="M413:N413"/>
    <mergeCell ref="S413:T413"/>
    <mergeCell ref="A418:C418"/>
    <mergeCell ref="F418:G418"/>
    <mergeCell ref="I418:J418"/>
    <mergeCell ref="K418:L418"/>
    <mergeCell ref="M418:N418"/>
    <mergeCell ref="S418:T418"/>
    <mergeCell ref="A417:C417"/>
    <mergeCell ref="F417:G417"/>
    <mergeCell ref="I417:J417"/>
    <mergeCell ref="K417:L417"/>
    <mergeCell ref="M417:N417"/>
    <mergeCell ref="S417:T417"/>
    <mergeCell ref="A416:C416"/>
    <mergeCell ref="F416:G416"/>
    <mergeCell ref="I416:J416"/>
    <mergeCell ref="K416:L416"/>
    <mergeCell ref="M416:N416"/>
    <mergeCell ref="S416:T416"/>
    <mergeCell ref="A421:C421"/>
    <mergeCell ref="F421:G421"/>
    <mergeCell ref="I421:J421"/>
    <mergeCell ref="K421:L421"/>
    <mergeCell ref="M421:N421"/>
    <mergeCell ref="S421:T421"/>
    <mergeCell ref="A420:C420"/>
    <mergeCell ref="F420:G420"/>
    <mergeCell ref="I420:J420"/>
    <mergeCell ref="K420:L420"/>
    <mergeCell ref="M420:N420"/>
    <mergeCell ref="S420:T420"/>
    <mergeCell ref="A419:C419"/>
    <mergeCell ref="F419:G419"/>
    <mergeCell ref="I419:J419"/>
    <mergeCell ref="K419:L419"/>
    <mergeCell ref="M419:N419"/>
    <mergeCell ref="S419:T419"/>
    <mergeCell ref="A424:C424"/>
    <mergeCell ref="F424:G424"/>
    <mergeCell ref="I424:J424"/>
    <mergeCell ref="K424:L424"/>
    <mergeCell ref="M424:N424"/>
    <mergeCell ref="S424:T424"/>
    <mergeCell ref="A423:C423"/>
    <mergeCell ref="F423:G423"/>
    <mergeCell ref="I423:J423"/>
    <mergeCell ref="K423:L423"/>
    <mergeCell ref="M423:N423"/>
    <mergeCell ref="S423:T423"/>
    <mergeCell ref="A422:C422"/>
    <mergeCell ref="F422:G422"/>
    <mergeCell ref="I422:J422"/>
    <mergeCell ref="K422:L422"/>
    <mergeCell ref="M422:N422"/>
    <mergeCell ref="S422:T422"/>
    <mergeCell ref="A427:C427"/>
    <mergeCell ref="F427:G427"/>
    <mergeCell ref="I427:J427"/>
    <mergeCell ref="K427:L427"/>
    <mergeCell ref="M427:N427"/>
    <mergeCell ref="S427:T427"/>
    <mergeCell ref="A426:C426"/>
    <mergeCell ref="F426:G426"/>
    <mergeCell ref="I426:J426"/>
    <mergeCell ref="K426:L426"/>
    <mergeCell ref="M426:N426"/>
    <mergeCell ref="S426:T426"/>
    <mergeCell ref="A425:C425"/>
    <mergeCell ref="F425:G425"/>
    <mergeCell ref="I425:J425"/>
    <mergeCell ref="K425:L425"/>
    <mergeCell ref="M425:N425"/>
    <mergeCell ref="S425:T425"/>
    <mergeCell ref="A432:C432"/>
    <mergeCell ref="F432:G432"/>
    <mergeCell ref="I432:J432"/>
    <mergeCell ref="K432:L432"/>
    <mergeCell ref="M432:N432"/>
    <mergeCell ref="S432:T432"/>
    <mergeCell ref="N430:O430"/>
    <mergeCell ref="P430:Q430"/>
    <mergeCell ref="R430:T430"/>
    <mergeCell ref="V430:W430"/>
    <mergeCell ref="X430:Y430"/>
    <mergeCell ref="F431:I431"/>
    <mergeCell ref="A428:C428"/>
    <mergeCell ref="F428:G428"/>
    <mergeCell ref="I428:J428"/>
    <mergeCell ref="K428:L428"/>
    <mergeCell ref="M428:N428"/>
    <mergeCell ref="S428:T428"/>
    <mergeCell ref="A435:C435"/>
    <mergeCell ref="F435:G435"/>
    <mergeCell ref="I435:J435"/>
    <mergeCell ref="K435:L435"/>
    <mergeCell ref="M435:N435"/>
    <mergeCell ref="S435:T435"/>
    <mergeCell ref="A434:C434"/>
    <mergeCell ref="F434:G434"/>
    <mergeCell ref="I434:J434"/>
    <mergeCell ref="K434:L434"/>
    <mergeCell ref="M434:N434"/>
    <mergeCell ref="S434:T434"/>
    <mergeCell ref="A433:C433"/>
    <mergeCell ref="F433:G433"/>
    <mergeCell ref="I433:J433"/>
    <mergeCell ref="K433:L433"/>
    <mergeCell ref="M433:N433"/>
    <mergeCell ref="S433:T433"/>
    <mergeCell ref="A438:C438"/>
    <mergeCell ref="F438:G438"/>
    <mergeCell ref="I438:J438"/>
    <mergeCell ref="K438:L438"/>
    <mergeCell ref="M438:N438"/>
    <mergeCell ref="S438:T438"/>
    <mergeCell ref="A437:C437"/>
    <mergeCell ref="F437:G437"/>
    <mergeCell ref="I437:J437"/>
    <mergeCell ref="K437:L437"/>
    <mergeCell ref="M437:N437"/>
    <mergeCell ref="S437:T437"/>
    <mergeCell ref="A436:C436"/>
    <mergeCell ref="F436:G436"/>
    <mergeCell ref="I436:J436"/>
    <mergeCell ref="K436:L436"/>
    <mergeCell ref="M436:N436"/>
    <mergeCell ref="S436:T436"/>
    <mergeCell ref="N442:O442"/>
    <mergeCell ref="P442:Q442"/>
    <mergeCell ref="R442:T442"/>
    <mergeCell ref="V442:W442"/>
    <mergeCell ref="X442:Y442"/>
    <mergeCell ref="F443:I443"/>
    <mergeCell ref="A440:C440"/>
    <mergeCell ref="F440:G440"/>
    <mergeCell ref="I440:J440"/>
    <mergeCell ref="K440:L440"/>
    <mergeCell ref="M440:N440"/>
    <mergeCell ref="S440:T440"/>
    <mergeCell ref="A439:C439"/>
    <mergeCell ref="F439:G439"/>
    <mergeCell ref="I439:J439"/>
    <mergeCell ref="K439:L439"/>
    <mergeCell ref="M439:N439"/>
    <mergeCell ref="S439:T439"/>
    <mergeCell ref="N447:O447"/>
    <mergeCell ref="P447:Q447"/>
    <mergeCell ref="R447:T447"/>
    <mergeCell ref="V447:W447"/>
    <mergeCell ref="X447:Y447"/>
    <mergeCell ref="F448:I448"/>
    <mergeCell ref="A445:C445"/>
    <mergeCell ref="F445:G445"/>
    <mergeCell ref="I445:J445"/>
    <mergeCell ref="K445:L445"/>
    <mergeCell ref="M445:N445"/>
    <mergeCell ref="S445:T445"/>
    <mergeCell ref="A444:C444"/>
    <mergeCell ref="F444:G444"/>
    <mergeCell ref="I444:J444"/>
    <mergeCell ref="K444:L444"/>
    <mergeCell ref="M444:N444"/>
    <mergeCell ref="S444:T444"/>
    <mergeCell ref="A451:C451"/>
    <mergeCell ref="F451:G451"/>
    <mergeCell ref="I451:J451"/>
    <mergeCell ref="K451:L451"/>
    <mergeCell ref="M451:N451"/>
    <mergeCell ref="S451:T451"/>
    <mergeCell ref="A450:C450"/>
    <mergeCell ref="F450:G450"/>
    <mergeCell ref="I450:J450"/>
    <mergeCell ref="K450:L450"/>
    <mergeCell ref="M450:N450"/>
    <mergeCell ref="S450:T450"/>
    <mergeCell ref="A449:C449"/>
    <mergeCell ref="F449:G449"/>
    <mergeCell ref="I449:J449"/>
    <mergeCell ref="K449:L449"/>
    <mergeCell ref="M449:N449"/>
    <mergeCell ref="S449:T449"/>
    <mergeCell ref="A456:C456"/>
    <mergeCell ref="F456:G456"/>
    <mergeCell ref="I456:J456"/>
    <mergeCell ref="K456:L456"/>
    <mergeCell ref="M456:N456"/>
    <mergeCell ref="S456:T456"/>
    <mergeCell ref="A455:C455"/>
    <mergeCell ref="F455:G455"/>
    <mergeCell ref="I455:J455"/>
    <mergeCell ref="K455:L455"/>
    <mergeCell ref="M455:N455"/>
    <mergeCell ref="S455:T455"/>
    <mergeCell ref="N453:O453"/>
    <mergeCell ref="P453:Q453"/>
    <mergeCell ref="R453:T453"/>
    <mergeCell ref="V453:W453"/>
    <mergeCell ref="X453:Y453"/>
    <mergeCell ref="F454:I454"/>
    <mergeCell ref="A461:C461"/>
    <mergeCell ref="F461:G461"/>
    <mergeCell ref="I461:J461"/>
    <mergeCell ref="K461:L461"/>
    <mergeCell ref="M461:N461"/>
    <mergeCell ref="S461:T461"/>
    <mergeCell ref="A460:C460"/>
    <mergeCell ref="F460:G460"/>
    <mergeCell ref="I460:J460"/>
    <mergeCell ref="K460:L460"/>
    <mergeCell ref="M460:N460"/>
    <mergeCell ref="S460:T460"/>
    <mergeCell ref="N458:O458"/>
    <mergeCell ref="P458:Q458"/>
    <mergeCell ref="R458:T458"/>
    <mergeCell ref="V458:W458"/>
    <mergeCell ref="X458:Y458"/>
    <mergeCell ref="F459:I459"/>
    <mergeCell ref="A464:C464"/>
    <mergeCell ref="F464:G464"/>
    <mergeCell ref="I464:J464"/>
    <mergeCell ref="K464:L464"/>
    <mergeCell ref="M464:N464"/>
    <mergeCell ref="S464:T464"/>
    <mergeCell ref="A463:C463"/>
    <mergeCell ref="F463:G463"/>
    <mergeCell ref="I463:J463"/>
    <mergeCell ref="K463:L463"/>
    <mergeCell ref="M463:N463"/>
    <mergeCell ref="S463:T463"/>
    <mergeCell ref="A462:C462"/>
    <mergeCell ref="F462:G462"/>
    <mergeCell ref="I462:J462"/>
    <mergeCell ref="K462:L462"/>
    <mergeCell ref="M462:N462"/>
    <mergeCell ref="S462:T462"/>
    <mergeCell ref="A467:C467"/>
    <mergeCell ref="F467:G467"/>
    <mergeCell ref="I467:J467"/>
    <mergeCell ref="K467:L467"/>
    <mergeCell ref="M467:N467"/>
    <mergeCell ref="S467:T467"/>
    <mergeCell ref="A466:C466"/>
    <mergeCell ref="F466:G466"/>
    <mergeCell ref="I466:J466"/>
    <mergeCell ref="K466:L466"/>
    <mergeCell ref="M466:N466"/>
    <mergeCell ref="S466:T466"/>
    <mergeCell ref="A465:C465"/>
    <mergeCell ref="F465:G465"/>
    <mergeCell ref="I465:J465"/>
    <mergeCell ref="K465:L465"/>
    <mergeCell ref="M465:N465"/>
    <mergeCell ref="S465:T465"/>
    <mergeCell ref="A470:C470"/>
    <mergeCell ref="F470:G470"/>
    <mergeCell ref="I470:J470"/>
    <mergeCell ref="K470:L470"/>
    <mergeCell ref="M470:N470"/>
    <mergeCell ref="S470:T470"/>
    <mergeCell ref="A469:C469"/>
    <mergeCell ref="F469:G469"/>
    <mergeCell ref="I469:J469"/>
    <mergeCell ref="K469:L469"/>
    <mergeCell ref="M469:N469"/>
    <mergeCell ref="S469:T469"/>
    <mergeCell ref="A468:C468"/>
    <mergeCell ref="F468:G468"/>
    <mergeCell ref="I468:J468"/>
    <mergeCell ref="K468:L468"/>
    <mergeCell ref="M468:N468"/>
    <mergeCell ref="S468:T468"/>
    <mergeCell ref="A473:C473"/>
    <mergeCell ref="F473:G473"/>
    <mergeCell ref="I473:J473"/>
    <mergeCell ref="K473:L473"/>
    <mergeCell ref="M473:N473"/>
    <mergeCell ref="S473:T473"/>
    <mergeCell ref="A472:C472"/>
    <mergeCell ref="F472:G472"/>
    <mergeCell ref="I472:J472"/>
    <mergeCell ref="K472:L472"/>
    <mergeCell ref="M472:N472"/>
    <mergeCell ref="S472:T472"/>
    <mergeCell ref="A471:C471"/>
    <mergeCell ref="F471:G471"/>
    <mergeCell ref="I471:J471"/>
    <mergeCell ref="K471:L471"/>
    <mergeCell ref="M471:N471"/>
    <mergeCell ref="S471:T471"/>
    <mergeCell ref="A476:C476"/>
    <mergeCell ref="F476:G476"/>
    <mergeCell ref="I476:J476"/>
    <mergeCell ref="K476:L476"/>
    <mergeCell ref="M476:N476"/>
    <mergeCell ref="S476:T476"/>
    <mergeCell ref="A475:C475"/>
    <mergeCell ref="F475:G475"/>
    <mergeCell ref="I475:J475"/>
    <mergeCell ref="K475:L475"/>
    <mergeCell ref="M475:N475"/>
    <mergeCell ref="S475:T475"/>
    <mergeCell ref="A474:C474"/>
    <mergeCell ref="F474:G474"/>
    <mergeCell ref="I474:J474"/>
    <mergeCell ref="K474:L474"/>
    <mergeCell ref="M474:N474"/>
    <mergeCell ref="S474:T474"/>
    <mergeCell ref="A479:C479"/>
    <mergeCell ref="F479:G479"/>
    <mergeCell ref="I479:J479"/>
    <mergeCell ref="K479:L479"/>
    <mergeCell ref="M479:N479"/>
    <mergeCell ref="S479:T479"/>
    <mergeCell ref="A478:C478"/>
    <mergeCell ref="F478:G478"/>
    <mergeCell ref="I478:J478"/>
    <mergeCell ref="K478:L478"/>
    <mergeCell ref="M478:N478"/>
    <mergeCell ref="S478:T478"/>
    <mergeCell ref="A477:C477"/>
    <mergeCell ref="F477:G477"/>
    <mergeCell ref="I477:J477"/>
    <mergeCell ref="K477:L477"/>
    <mergeCell ref="M477:N477"/>
    <mergeCell ref="S477:T477"/>
    <mergeCell ref="A484:C484"/>
    <mergeCell ref="F484:G484"/>
    <mergeCell ref="I484:J484"/>
    <mergeCell ref="K484:L484"/>
    <mergeCell ref="M484:N484"/>
    <mergeCell ref="S484:T484"/>
    <mergeCell ref="A483:C483"/>
    <mergeCell ref="F483:G483"/>
    <mergeCell ref="I483:J483"/>
    <mergeCell ref="K483:L483"/>
    <mergeCell ref="M483:N483"/>
    <mergeCell ref="S483:T483"/>
    <mergeCell ref="N481:O481"/>
    <mergeCell ref="P481:Q481"/>
    <mergeCell ref="R481:T481"/>
    <mergeCell ref="V481:W481"/>
    <mergeCell ref="X481:Y481"/>
    <mergeCell ref="F482:I482"/>
    <mergeCell ref="A489:C489"/>
    <mergeCell ref="F489:G489"/>
    <mergeCell ref="I489:J489"/>
    <mergeCell ref="K489:L489"/>
    <mergeCell ref="M489:N489"/>
    <mergeCell ref="S489:T489"/>
    <mergeCell ref="A488:C488"/>
    <mergeCell ref="F488:G488"/>
    <mergeCell ref="I488:J488"/>
    <mergeCell ref="K488:L488"/>
    <mergeCell ref="M488:N488"/>
    <mergeCell ref="S488:T488"/>
    <mergeCell ref="N486:O486"/>
    <mergeCell ref="P486:Q486"/>
    <mergeCell ref="R486:T486"/>
    <mergeCell ref="V486:W486"/>
    <mergeCell ref="X486:Y486"/>
    <mergeCell ref="F487:I487"/>
    <mergeCell ref="A492:C492"/>
    <mergeCell ref="F492:G492"/>
    <mergeCell ref="I492:J492"/>
    <mergeCell ref="K492:L492"/>
    <mergeCell ref="M492:N492"/>
    <mergeCell ref="S492:T492"/>
    <mergeCell ref="A491:C491"/>
    <mergeCell ref="F491:G491"/>
    <mergeCell ref="I491:J491"/>
    <mergeCell ref="K491:L491"/>
    <mergeCell ref="M491:N491"/>
    <mergeCell ref="S491:T491"/>
    <mergeCell ref="A490:C490"/>
    <mergeCell ref="F490:G490"/>
    <mergeCell ref="I490:J490"/>
    <mergeCell ref="K490:L490"/>
    <mergeCell ref="M490:N490"/>
    <mergeCell ref="S490:T490"/>
    <mergeCell ref="N496:O496"/>
    <mergeCell ref="P496:Q496"/>
    <mergeCell ref="R496:T496"/>
    <mergeCell ref="V496:W496"/>
    <mergeCell ref="X496:Y496"/>
    <mergeCell ref="N498:O498"/>
    <mergeCell ref="P498:Q498"/>
    <mergeCell ref="R498:T498"/>
    <mergeCell ref="V498:W498"/>
    <mergeCell ref="X498:Y498"/>
    <mergeCell ref="A494:C494"/>
    <mergeCell ref="F494:G494"/>
    <mergeCell ref="I494:J494"/>
    <mergeCell ref="K494:L494"/>
    <mergeCell ref="M494:N494"/>
    <mergeCell ref="S494:T494"/>
    <mergeCell ref="A493:C493"/>
    <mergeCell ref="F493:G493"/>
    <mergeCell ref="I493:J493"/>
    <mergeCell ref="K493:L493"/>
    <mergeCell ref="M493:N493"/>
    <mergeCell ref="S493:T4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2026-08-11T10:37:49Z</dcterms:modified>
</cp:coreProperties>
</file>